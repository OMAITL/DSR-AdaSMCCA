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125" windowHeight="12540"/>
  </bookViews>
  <sheets>
    <sheet name="Sheet1" sheetId="1" r:id="rId1"/>
    <sheet name="Sheet2" sheetId="2" r:id="rId2"/>
    <sheet name="热图输入" sheetId="3" r:id="rId3"/>
    <sheet name="生存曲线输入" sheetId="4" r:id="rId4"/>
    <sheet name="Sheet5" sheetId="5" r:id="rId5"/>
    <sheet name="差异分析画图输入" sheetId="6" r:id="rId6"/>
    <sheet name="差异分析" sheetId="7" r:id="rId7"/>
  </sheets>
  <definedNames>
    <definedName name="_xlnm._FilterDatabase" localSheetId="1" hidden="1">Sheet2!$A$1:$D$260</definedName>
    <definedName name="_xlnm._FilterDatabase" localSheetId="2" hidden="1">热图输入!$A$1:$AA$264</definedName>
    <definedName name="_xlnm._FilterDatabase" localSheetId="5" hidden="1">差异分析画图输入!$G$1:$H$195</definedName>
    <definedName name="_xlnm._FilterDatabase" localSheetId="0" hidden="1">Sheet1!$A$1:$N$260</definedName>
    <definedName name="_xlnm._FilterDatabase" localSheetId="4" hidden="1">Sheet5!$E$1:$I$260</definedName>
    <definedName name="_xlnm._FilterDatabase" localSheetId="3" hidden="1">生存曲线输入!$A$1:$E$260</definedName>
  </definedNames>
  <calcPr calcId="144525"/>
</workbook>
</file>

<file path=xl/sharedStrings.xml><?xml version="1.0" encoding="utf-8"?>
<sst xmlns="http://schemas.openxmlformats.org/spreadsheetml/2006/main" count="5959" uniqueCount="419">
  <si>
    <t>submitter_id</t>
  </si>
  <si>
    <t>Age</t>
  </si>
  <si>
    <t>gender</t>
  </si>
  <si>
    <t>race</t>
  </si>
  <si>
    <t>vital_status</t>
  </si>
  <si>
    <t>primary_diagnosis</t>
  </si>
  <si>
    <t>tissue_or_organ_of_origin</t>
  </si>
  <si>
    <t>days_to_death</t>
  </si>
  <si>
    <t>days_to_last_follow_up</t>
  </si>
  <si>
    <t>OS</t>
  </si>
  <si>
    <t>Metastasis</t>
  </si>
  <si>
    <t>New tumor</t>
  </si>
  <si>
    <t>local disease recurrence</t>
  </si>
  <si>
    <r>
      <rPr>
        <sz val="11"/>
        <color theme="1"/>
        <rFont val="宋体"/>
        <charset val="134"/>
      </rPr>
      <t>远处转移</t>
    </r>
  </si>
  <si>
    <t>TCGA-IW-A3M5</t>
  </si>
  <si>
    <t>female</t>
  </si>
  <si>
    <t>white</t>
  </si>
  <si>
    <t>Dead</t>
  </si>
  <si>
    <t>Leiomyosarcoma, NOS</t>
  </si>
  <si>
    <t>Uterus, NOS</t>
  </si>
  <si>
    <t>Lung</t>
  </si>
  <si>
    <t>NO</t>
  </si>
  <si>
    <t>Distant Metastasis</t>
  </si>
  <si>
    <t>TCGA-WK-A8XT</t>
  </si>
  <si>
    <t>Synovial sarcoma, spindle cell</t>
  </si>
  <si>
    <t>Kidney, NOS</t>
  </si>
  <si>
    <t>YES</t>
  </si>
  <si>
    <t>TCGA-HB-A3L4</t>
  </si>
  <si>
    <t>Lung; Liver</t>
  </si>
  <si>
    <t>Unknown</t>
  </si>
  <si>
    <t>TCGA-DX-A23V</t>
  </si>
  <si>
    <t>Dedifferentiated liposarcoma</t>
  </si>
  <si>
    <t>Retroperitoneum</t>
  </si>
  <si>
    <t>TCGA-DX-A1L0</t>
  </si>
  <si>
    <t>male</t>
  </si>
  <si>
    <t>TCGA-DX-A23T</t>
  </si>
  <si>
    <t>TCGA-DX-A23Y</t>
  </si>
  <si>
    <t>TCGA-DX-A23Z</t>
  </si>
  <si>
    <t>TCGA-JV-A75J</t>
  </si>
  <si>
    <t>TCGA-X6-A7WB</t>
  </si>
  <si>
    <t>TCGA-DX-A1L3</t>
  </si>
  <si>
    <t>TCGA-KD-A5QU</t>
  </si>
  <si>
    <t>TCGA-WK-A8XX</t>
  </si>
  <si>
    <t>TCGA-IF-A4AJ</t>
  </si>
  <si>
    <t>Long bones of lower limb and associated joints</t>
  </si>
  <si>
    <t>TCGA-KD-A5QS</t>
  </si>
  <si>
    <t>Myometrium</t>
  </si>
  <si>
    <t>Bone</t>
  </si>
  <si>
    <t>TCGA-DX-A1L1</t>
  </si>
  <si>
    <t>Liver</t>
  </si>
  <si>
    <t>TCGA-X6-A8C6</t>
  </si>
  <si>
    <t>Fibromyxosarcoma</t>
  </si>
  <si>
    <t>Connective, subcutaneous and other soft tissues of lower limb and hip</t>
  </si>
  <si>
    <t>Lung;Bone;Other</t>
  </si>
  <si>
    <t>TCGA-DX-AB2X</t>
  </si>
  <si>
    <t>Undifferentiated sarcoma</t>
  </si>
  <si>
    <t>TCGA-QQ-A5VB</t>
  </si>
  <si>
    <t>Connective, subcutaneous and other soft tissues, NOS</t>
  </si>
  <si>
    <t>Other, specify</t>
  </si>
  <si>
    <t>TCGA-DX-AB3A</t>
  </si>
  <si>
    <t>TCGA-3B-A9HL</t>
  </si>
  <si>
    <t>Specified parts of peritoneum</t>
  </si>
  <si>
    <t>TCGA-DX-A3U6</t>
  </si>
  <si>
    <t>Other</t>
  </si>
  <si>
    <t>TCGA-QQ-A5VA</t>
  </si>
  <si>
    <t>TCGA-DX-A6YQ</t>
  </si>
  <si>
    <t>not reported</t>
  </si>
  <si>
    <t>Connective, subcutaneous and other soft tissues of pelvis</t>
  </si>
  <si>
    <t>TCGA-FX-A48G</t>
  </si>
  <si>
    <t>TCGA-DX-A3LS</t>
  </si>
  <si>
    <t>TCGA-3B-A9HV</t>
  </si>
  <si>
    <t>TCGA-WK-A8XO</t>
  </si>
  <si>
    <t>TCGA-LI-A9QH</t>
  </si>
  <si>
    <t>TCGA-DX-A7ER</t>
  </si>
  <si>
    <t>Connective, subcutaneous and other soft tissues of thorax</t>
  </si>
  <si>
    <t>TCGA-DX-A8BS</t>
  </si>
  <si>
    <t>black or african american</t>
  </si>
  <si>
    <t>Not Available</t>
  </si>
  <si>
    <t>TCGA-DX-A48J</t>
  </si>
  <si>
    <t>TCGA-DX-A23U</t>
  </si>
  <si>
    <t>TCGA-IS-A3K6</t>
  </si>
  <si>
    <t>TCGA-JV-A5VF</t>
  </si>
  <si>
    <t>TCGA-DX-A3UE</t>
  </si>
  <si>
    <t>Connective, subcutaneous and other soft tissues of trunk, NOS</t>
  </si>
  <si>
    <t>TCGA-DX-A3U9</t>
  </si>
  <si>
    <t>TCGA-WK-A8XQ</t>
  </si>
  <si>
    <t>TCGA-DX-A3U7</t>
  </si>
  <si>
    <t>Lung;Liver;Bone</t>
  </si>
  <si>
    <t>TCGA-DX-A8BU</t>
  </si>
  <si>
    <t>Malignant fibrous histiocytoma</t>
  </si>
  <si>
    <t>TCGA-WK-A8XZ</t>
  </si>
  <si>
    <t>Connective, subcutaneous and other soft tissues of abdomen</t>
  </si>
  <si>
    <t>TCGA-DX-A2J0</t>
  </si>
  <si>
    <t>TCGA-DX-A6YV</t>
  </si>
  <si>
    <t>TCGA-PC-A5DN</t>
  </si>
  <si>
    <t>TCGA-DX-A6B8</t>
  </si>
  <si>
    <t>TCGA-DX-A8BJ</t>
  </si>
  <si>
    <t>TCGA-IF-A3RQ</t>
  </si>
  <si>
    <t>TCGA-QQ-A5V9</t>
  </si>
  <si>
    <t>TCGA-DX-A1KU</t>
  </si>
  <si>
    <t>TCGA-DX-A1KY</t>
  </si>
  <si>
    <t>TCGA-DX-A8BX</t>
  </si>
  <si>
    <t>TCGA-DX-AB2J</t>
  </si>
  <si>
    <t>TCGA-X6-A8C3</t>
  </si>
  <si>
    <t>asian</t>
  </si>
  <si>
    <t>Alive</t>
  </si>
  <si>
    <t>TCGA-DX-AB2L</t>
  </si>
  <si>
    <t>TCGA-DX-A1KZ</t>
  </si>
  <si>
    <t>TCGA-DX-A48O</t>
  </si>
  <si>
    <t>TCGA-QC-A7B5</t>
  </si>
  <si>
    <t>Connective, subcutaneous and other soft tissues of head, face, and neck</t>
  </si>
  <si>
    <t>New Primary Tumor</t>
  </si>
  <si>
    <t>TCGA-DX-A8BP</t>
  </si>
  <si>
    <t>TCGA-DX-A6BF</t>
  </si>
  <si>
    <t>TCGA-DX-AB3C</t>
  </si>
  <si>
    <t>TCGA-DX-A3UD</t>
  </si>
  <si>
    <t>Lung;Liver</t>
  </si>
  <si>
    <t>TCGA-UE-A6QU</t>
  </si>
  <si>
    <t>Pleomorphic liposarcoma</t>
  </si>
  <si>
    <t>TCGA-JV-A5VE</t>
  </si>
  <si>
    <t>TCGA-K1-A6RT</t>
  </si>
  <si>
    <t>TCGA-Z4-AAPG</t>
  </si>
  <si>
    <t>TCGA-Z4-AAPF</t>
  </si>
  <si>
    <t>Synovial sarcoma, NOS</t>
  </si>
  <si>
    <t>Connective, subcutaneous and other soft tissues of upper limb and shoulder</t>
  </si>
  <si>
    <t>TCGA-DX-A3U5</t>
  </si>
  <si>
    <t>TCGA-QC-A6FX</t>
  </si>
  <si>
    <t>TCGA-DX-AB2H</t>
  </si>
  <si>
    <t>TCGA-SG-A6Z4</t>
  </si>
  <si>
    <t>TCGA-DX-A3UC</t>
  </si>
  <si>
    <t>TCGA-FX-A3TO</t>
  </si>
  <si>
    <t>Giant cell sarcoma</t>
  </si>
  <si>
    <t>TCGA-DX-A6YT</t>
  </si>
  <si>
    <t>TCGA-X6-A7WA</t>
  </si>
  <si>
    <t>TCGA-HS-A5N9</t>
  </si>
  <si>
    <t>TCGA-DX-AB2S</t>
  </si>
  <si>
    <t>TCGA-WP-A9GB</t>
  </si>
  <si>
    <t>Lung; Other</t>
  </si>
  <si>
    <t>TCGA-K1-A6RV</t>
  </si>
  <si>
    <t>TCGA-DX-A3M1</t>
  </si>
  <si>
    <t>TCGA-FX-A3NJ</t>
  </si>
  <si>
    <t>TCGA-3B-A9HJ</t>
  </si>
  <si>
    <t>TCGA-LI-A67I</t>
  </si>
  <si>
    <t>TCGA-DX-A6BE</t>
  </si>
  <si>
    <t>TCGA-IF-A4AK</t>
  </si>
  <si>
    <t>TCGA-DX-A8BO</t>
  </si>
  <si>
    <t>TCGA-DX-AB2V</t>
  </si>
  <si>
    <t>TCGA-DX-AB32</t>
  </si>
  <si>
    <t>TCGA-3B-A9HI</t>
  </si>
  <si>
    <t>TCGA-3B-A9HT</t>
  </si>
  <si>
    <t>Tongue, NOS</t>
  </si>
  <si>
    <t>TCGA-X6-A7WD</t>
  </si>
  <si>
    <t>TCGA-DX-AB3B</t>
  </si>
  <si>
    <t>TCGA-DX-A7ES</t>
  </si>
  <si>
    <t>TCGA-VT-A80J</t>
  </si>
  <si>
    <t>TCGA-DX-A8BK</t>
  </si>
  <si>
    <t>TCGA-SI-AA8C</t>
  </si>
  <si>
    <t>Malignant peripheral nerve sheath tumor</t>
  </si>
  <si>
    <t>TCGA-MO-A47P</t>
  </si>
  <si>
    <t>Liposarcoma, well differentiated</t>
  </si>
  <si>
    <t>TCGA-K1-A42X</t>
  </si>
  <si>
    <t>TCGA-DX-AB2G</t>
  </si>
  <si>
    <t>TCGA-DX-A6BG</t>
  </si>
  <si>
    <t>TCGA-X6-A8C5</t>
  </si>
  <si>
    <t>TCGA-DX-A6YZ</t>
  </si>
  <si>
    <t>TCGA-DX-A8BQ</t>
  </si>
  <si>
    <t>TCGA-WK-A8XS</t>
  </si>
  <si>
    <t>Stomach, NOS</t>
  </si>
  <si>
    <t>TCGA-QQ-A8VF</t>
  </si>
  <si>
    <t>TCGA-QQ-A5VD</t>
  </si>
  <si>
    <t>TCGA-VT-A80G</t>
  </si>
  <si>
    <t>TCGA-DX-A2J4</t>
  </si>
  <si>
    <t>TCGA-DX-A6YU</t>
  </si>
  <si>
    <t>TCGA-HS-A5N7</t>
  </si>
  <si>
    <t>TCGA-QQ-A8VD</t>
  </si>
  <si>
    <t>Abdominal fibromatosis</t>
  </si>
  <si>
    <t>TCGA-DX-AB2W</t>
  </si>
  <si>
    <t>TCGA-DX-AB2F</t>
  </si>
  <si>
    <t>TCGA-K1-A3PO</t>
  </si>
  <si>
    <t>TCGA-X6-A7WC</t>
  </si>
  <si>
    <t>TCGA-PT-A8TR</t>
  </si>
  <si>
    <t>Myxoid leiomyosarcoma</t>
  </si>
  <si>
    <t>Isthmus uteri</t>
  </si>
  <si>
    <t>TCGA-X2-A95T</t>
  </si>
  <si>
    <t>TCGA-HS-A5NA</t>
  </si>
  <si>
    <t>TCGA-3B-A9HU</t>
  </si>
  <si>
    <t>TCGA-MJ-A850</t>
  </si>
  <si>
    <t>TCGA-MJ-A68H</t>
  </si>
  <si>
    <t>TCGA-3B-A9HX</t>
  </si>
  <si>
    <t>TCGA-MB-A5YA</t>
  </si>
  <si>
    <t>TCGA-IE-A6BZ</t>
  </si>
  <si>
    <t>TCGA-X9-A971</t>
  </si>
  <si>
    <t>TCGA-DX-A8BR</t>
  </si>
  <si>
    <t>TCGA-FX-A3RE</t>
  </si>
  <si>
    <t>Ovary</t>
  </si>
  <si>
    <t>TCGA-DX-A2J1</t>
  </si>
  <si>
    <t>TCGA-DX-A1L4</t>
  </si>
  <si>
    <t>TCGA-DX-A3M2</t>
  </si>
  <si>
    <t>TCGA-DX-A48R</t>
  </si>
  <si>
    <t>TCGA-DX-A8BN</t>
  </si>
  <si>
    <t>TCGA-IW-A3M6</t>
  </si>
  <si>
    <t>TCGA-X6-A8C7</t>
  </si>
  <si>
    <t>Synovial sarcoma, biphasic</t>
  </si>
  <si>
    <t>TCGA-DX-A6B9</t>
  </si>
  <si>
    <t>Overlapping lesion of connective, subcutaneous and other soft tissues</t>
  </si>
  <si>
    <t>TCGA-DX-A7EU</t>
  </si>
  <si>
    <t>TCGA-DX-A48N</t>
  </si>
  <si>
    <t>TCGA-DX-A240</t>
  </si>
  <si>
    <t>Spermatic cord</t>
  </si>
  <si>
    <t>TCGA-DX-A6Z0</t>
  </si>
  <si>
    <t>TCGA-FX-A8OO</t>
  </si>
  <si>
    <t>TCGA-DX-AB2P</t>
  </si>
  <si>
    <t>TCGA-DX-A7EF</t>
  </si>
  <si>
    <t>TCGA-DX-A3U8</t>
  </si>
  <si>
    <t>TCGA-HS-A5N8</t>
  </si>
  <si>
    <t>TCGA-DX-A48L</t>
  </si>
  <si>
    <t>TCGA-DX-AATS</t>
  </si>
  <si>
    <t>TCGA-HB-A5W3</t>
  </si>
  <si>
    <t>TCGA-X6-A8C4</t>
  </si>
  <si>
    <t>TCGA-K1-A6RU</t>
  </si>
  <si>
    <t>TCGA-HB-A3YV</t>
  </si>
  <si>
    <t>TCGA-DX-A8BH</t>
  </si>
  <si>
    <t>TCGA-DX-A7EI</t>
  </si>
  <si>
    <t>TCGA-3R-A8YX</t>
  </si>
  <si>
    <t>TCGA-MO-A47R</t>
  </si>
  <si>
    <t>Brain</t>
  </si>
  <si>
    <t>TCGA-SI-A71O</t>
  </si>
  <si>
    <t>Locoregional Recurrence</t>
  </si>
  <si>
    <t>TCGA-SG-A6Z7</t>
  </si>
  <si>
    <t>TCGA-IE-A3OV</t>
  </si>
  <si>
    <t>TCGA-DX-AB36</t>
  </si>
  <si>
    <t>TCGA-PC-A5DL</t>
  </si>
  <si>
    <t>TCGA-DX-A8BZ</t>
  </si>
  <si>
    <t>TCGA-WK-A8Y0</t>
  </si>
  <si>
    <t>TCGA-DX-A6YX</t>
  </si>
  <si>
    <t>TCGA-3B-A9I1</t>
  </si>
  <si>
    <t>TCGA-DX-A1KW</t>
  </si>
  <si>
    <t>TCGA-WK-A8XY</t>
  </si>
  <si>
    <t>TCGA-DX-AB30</t>
  </si>
  <si>
    <t>TCGA-DX-AB37</t>
  </si>
  <si>
    <t>TCGA-QQ-A8VG</t>
  </si>
  <si>
    <t>TCGA-DX-A3UA</t>
  </si>
  <si>
    <t>Short bones of lower limb and associated joints</t>
  </si>
  <si>
    <t>TCGA-SI-AA8B</t>
  </si>
  <si>
    <t>TCGA-PC-A5DM</t>
  </si>
  <si>
    <t>TCGA-N1-A6IA</t>
  </si>
  <si>
    <t>TCGA-PC-A5DP</t>
  </si>
  <si>
    <t>TCGA-3B-A9HR</t>
  </si>
  <si>
    <t>Lung; Liver; other</t>
  </si>
  <si>
    <t>TCGA-DX-A3UF</t>
  </si>
  <si>
    <t>TCGA-3B-A9HS</t>
  </si>
  <si>
    <t>TCGA-X6-A7W8</t>
  </si>
  <si>
    <t>TCGA-DX-A8BV</t>
  </si>
  <si>
    <t>TCGA-3B-A9HP</t>
  </si>
  <si>
    <t>TCGA-DX-A7EQ</t>
  </si>
  <si>
    <t>TCGA-QQ-A8VH</t>
  </si>
  <si>
    <t>TCGA-IS-A3KA</t>
  </si>
  <si>
    <t>TCGA-PC-A5DO</t>
  </si>
  <si>
    <t>TCGA-DX-A7EN</t>
  </si>
  <si>
    <t>TCGA-MB-A5Y9</t>
  </si>
  <si>
    <t>TCGA-FX-A76Y</t>
  </si>
  <si>
    <t>TCGA-IE-A4EJ</t>
  </si>
  <si>
    <t>TCGA-DX-A6BA</t>
  </si>
  <si>
    <t>TCGA-FX-A2QS</t>
  </si>
  <si>
    <t>TCGA-X9-A973</t>
  </si>
  <si>
    <t>TCGA-PC-A5DK</t>
  </si>
  <si>
    <t>TCGA-DX-A8BM</t>
  </si>
  <si>
    <t>TCGA-DX-A1L2</t>
  </si>
  <si>
    <t>TCGA-3B-A9HY</t>
  </si>
  <si>
    <t>TCGA-MB-A8JL</t>
  </si>
  <si>
    <t>TCGA-3B-A9HQ</t>
  </si>
  <si>
    <t>TCGA-K1-A3PN</t>
  </si>
  <si>
    <t>TCGA-KD-A5QT</t>
  </si>
  <si>
    <t>TCGA-DX-AB2E</t>
  </si>
  <si>
    <t>Lung;Other</t>
  </si>
  <si>
    <t>TCGA-DX-A48P</t>
  </si>
  <si>
    <t>TCGA-QQ-A5V2</t>
  </si>
  <si>
    <t>TCGA-DX-A6YS</t>
  </si>
  <si>
    <t>TCGA-DX-A3UB</t>
  </si>
  <si>
    <t>TCGA-DX-A7ET</t>
  </si>
  <si>
    <t>TCGA-RN-A68Q</t>
  </si>
  <si>
    <t>Spinal meninges</t>
  </si>
  <si>
    <t>TCGA-IE-A4EI</t>
  </si>
  <si>
    <t>TCGA-SI-A71Q</t>
  </si>
  <si>
    <t>TCGA-DX-AB35</t>
  </si>
  <si>
    <t>Descending colon</t>
  </si>
  <si>
    <t>TCGA-DX-A6BH</t>
  </si>
  <si>
    <t>TCGA-IE-A4EH</t>
  </si>
  <si>
    <t>Corpus uteri</t>
  </si>
  <si>
    <t>TCGA-DX-A3LU</t>
  </si>
  <si>
    <t>TCGA-Z4-A8JB</t>
  </si>
  <si>
    <t>Aggressive fibromatosis</t>
  </si>
  <si>
    <t>TCGA-RN-AAAQ</t>
  </si>
  <si>
    <t>TCGA-DX-A6YR</t>
  </si>
  <si>
    <t>TCGA-DX-AB2T</t>
  </si>
  <si>
    <t>TCGA-DX-A8BG</t>
  </si>
  <si>
    <t>TCGA-DX-A6BB</t>
  </si>
  <si>
    <t>TCGA-Z4-A9VC</t>
  </si>
  <si>
    <t>TCGA-MJ-A68J</t>
  </si>
  <si>
    <t>TCGA-X6-A8C2</t>
  </si>
  <si>
    <t>TCGA-DX-A8BT</t>
  </si>
  <si>
    <t>TCGA-IS-A3K8</t>
  </si>
  <si>
    <t>TCGA-SI-A71P</t>
  </si>
  <si>
    <t>Peripheral nerves and autonomic nervous system of upper limb and shoulder</t>
  </si>
  <si>
    <t>TCGA-DX-A3LY</t>
  </si>
  <si>
    <t>TCGA-IE-A4EK</t>
  </si>
  <si>
    <t>TCGA-DX-A48K</t>
  </si>
  <si>
    <t>TCGA-UE-A6QT</t>
  </si>
  <si>
    <t>TCGA-QQ-A8VB</t>
  </si>
  <si>
    <t>TCGA-MB-A8JK</t>
  </si>
  <si>
    <t>TCGA-DX-AB2Z</t>
  </si>
  <si>
    <t>TCGA-IW-A3M4</t>
  </si>
  <si>
    <t>Locoregional Disease</t>
  </si>
  <si>
    <t>TCGA-DX-A48U</t>
  </si>
  <si>
    <t>TCGA-QQ-A5VC</t>
  </si>
  <si>
    <t>TCGA-DX-A6Z2</t>
  </si>
  <si>
    <t>TCGA-DX-A3LT</t>
  </si>
  <si>
    <t>TCGA-HB-A2OT</t>
  </si>
  <si>
    <t>TCGA-SG-A849</t>
  </si>
  <si>
    <t>TCGA-MB-A5Y8</t>
  </si>
  <si>
    <t>TCGA-DX-A8BL</t>
  </si>
  <si>
    <t>TCGA-HB-A43Z</t>
  </si>
  <si>
    <t>TCGA-3B-A9HZ</t>
  </si>
  <si>
    <t>TCGA-DX-A7EO</t>
  </si>
  <si>
    <t>TCGA-DX-A23R</t>
  </si>
  <si>
    <t>TCGA-FX-A3NK</t>
  </si>
  <si>
    <t>TCGA-3B-A9I3</t>
  </si>
  <si>
    <t>TCGA-KF-A41W</t>
  </si>
  <si>
    <t>TCGA-DX-AB2O</t>
  </si>
  <si>
    <t>TCGA-VT-AB3D</t>
  </si>
  <si>
    <t>TCGA-DX-AB2Q</t>
  </si>
  <si>
    <t>TCGA-DX-A3LW</t>
  </si>
  <si>
    <t>TCGA-DX-A2IZ</t>
  </si>
  <si>
    <t>TCGA-3B-A9I0</t>
  </si>
  <si>
    <t>TCGA-IS-A3K7</t>
  </si>
  <si>
    <t>TCGA-QC-AA9N</t>
  </si>
  <si>
    <t>TCGA-3B-A9HO</t>
  </si>
  <si>
    <t>TCGA-DX-A6B7</t>
  </si>
  <si>
    <t>TCGA-K1-A42W</t>
  </si>
  <si>
    <t>TCGA-DX-A7EM</t>
  </si>
  <si>
    <t>TCGA-DX-A7EL</t>
  </si>
  <si>
    <t>No</t>
  </si>
  <si>
    <t>TCGA-DX-A1KX</t>
  </si>
  <si>
    <t>Histology</t>
  </si>
  <si>
    <t>Yes</t>
  </si>
  <si>
    <t>Input_Sample</t>
  </si>
  <si>
    <t>Local recurrence</t>
  </si>
  <si>
    <t>Kmeans_clusters</t>
  </si>
  <si>
    <t>B cells naive</t>
  </si>
  <si>
    <t>B cells memory</t>
  </si>
  <si>
    <t>Plasma cells</t>
  </si>
  <si>
    <t>T cells CD8</t>
  </si>
  <si>
    <t>T cells CD4 naive</t>
  </si>
  <si>
    <t>T cells CD4 memory resting</t>
  </si>
  <si>
    <t>T cells CD4 memory activated</t>
  </si>
  <si>
    <t>T cells follicular helper</t>
  </si>
  <si>
    <t>T cells regulatory (Tregs)</t>
  </si>
  <si>
    <t>T cells gamma delta</t>
  </si>
  <si>
    <t>NK cells resting</t>
  </si>
  <si>
    <t>NK cells activated</t>
  </si>
  <si>
    <t>Monocytes</t>
  </si>
  <si>
    <t>Macrophages M0</t>
  </si>
  <si>
    <t>Macrophages M1</t>
  </si>
  <si>
    <t>Macrophages M2</t>
  </si>
  <si>
    <t>Dendritic cells resting</t>
  </si>
  <si>
    <t>Dendritic cells activated</t>
  </si>
  <si>
    <t>Mast cells resting</t>
  </si>
  <si>
    <t>Mast cells activated</t>
  </si>
  <si>
    <t>Eosinophils</t>
  </si>
  <si>
    <t>Neutrophils</t>
  </si>
  <si>
    <t>TME-A</t>
  </si>
  <si>
    <t>TCGA-VT-A80J_2</t>
  </si>
  <si>
    <t>TME-B</t>
  </si>
  <si>
    <t>TME-C</t>
  </si>
  <si>
    <t>TCGA-K1-A3PN_1</t>
  </si>
  <si>
    <t>TCGA-K1-A3PN_2</t>
  </si>
  <si>
    <t>TCGA-K1-A42X_2</t>
  </si>
  <si>
    <t>TCGA-SI-A71O_2</t>
  </si>
  <si>
    <t>Status</t>
  </si>
  <si>
    <t>年龄</t>
  </si>
  <si>
    <t>性别</t>
  </si>
  <si>
    <t>肺转移</t>
  </si>
  <si>
    <t>对照</t>
  </si>
  <si>
    <t>Table Analyzed</t>
  </si>
  <si>
    <t>Unpaired t test data</t>
  </si>
  <si>
    <t>Chi-square</t>
  </si>
  <si>
    <t>Chi-square, df</t>
  </si>
  <si>
    <t>2.007, 1</t>
  </si>
  <si>
    <t>Column B</t>
  </si>
  <si>
    <t>control</t>
  </si>
  <si>
    <t>z</t>
  </si>
  <si>
    <t>vs.</t>
  </si>
  <si>
    <t>P value</t>
  </si>
  <si>
    <t>Column A</t>
  </si>
  <si>
    <t>lungmet</t>
  </si>
  <si>
    <t>P value summary</t>
  </si>
  <si>
    <t>ns</t>
  </si>
  <si>
    <t>One- or two-sided</t>
  </si>
  <si>
    <t>Two-sided</t>
  </si>
  <si>
    <t>Unpaired t test</t>
  </si>
  <si>
    <t>Statistically significant? (alpha&lt;0.05)</t>
  </si>
  <si>
    <t>Significantly different? (P &lt; 0.05)</t>
  </si>
  <si>
    <t>One- or two-tailed P value?</t>
  </si>
  <si>
    <t>Two-tailed</t>
  </si>
  <si>
    <t>t, df</t>
  </si>
  <si>
    <t>t=0.8717 df=253</t>
  </si>
  <si>
    <t>How big is the difference?</t>
  </si>
  <si>
    <t>Mean ± SEM of column A</t>
  </si>
  <si>
    <t>59.29 ± 1.905 N=62</t>
  </si>
  <si>
    <t>Mean ± SEM of column B</t>
  </si>
  <si>
    <t>61.16 ± 1.051 N=193</t>
  </si>
  <si>
    <t>Difference between means</t>
  </si>
  <si>
    <t>1.870 ± 2.146</t>
  </si>
  <si>
    <t>95% confidence interval</t>
  </si>
  <si>
    <t>-2.355 to 6.096</t>
  </si>
  <si>
    <t>R square</t>
  </si>
  <si>
    <t>F test to compare variances</t>
  </si>
  <si>
    <t>F,DFn, Dfd</t>
  </si>
  <si>
    <t>1.056, 61, 192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</si>
</sst>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</numFmts>
  <fonts count="26">
    <font>
      <sz val="11"/>
      <color theme="1"/>
      <name val="宋体"/>
      <charset val="134"/>
      <scheme val="minor"/>
    </font>
    <font>
      <sz val="10"/>
      <name val="Arial"/>
      <charset val="0"/>
    </font>
    <font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rgb="FF000000"/>
      <name val="Times New Roman"/>
      <charset val="134"/>
    </font>
    <font>
      <sz val="8.05"/>
      <color rgb="FF000000"/>
      <name val="TimesNewRomanPSMT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1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0" fillId="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8" applyNumberFormat="0" applyFont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0" borderId="9" applyNumberFormat="0" applyFill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12" fillId="10" borderId="6" applyNumberFormat="0" applyAlignment="0" applyProtection="0">
      <alignment vertical="center"/>
    </xf>
    <xf numFmtId="0" fontId="23" fillId="10" borderId="5" applyNumberFormat="0" applyAlignment="0" applyProtection="0">
      <alignment vertical="center"/>
    </xf>
    <xf numFmtId="0" fontId="15" fillId="17" borderId="7" applyNumberFormat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Border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3" fillId="0" borderId="0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2" borderId="0" xfId="0" applyFon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4</xdr:row>
          <xdr:rowOff>57150</xdr:rowOff>
        </xdr:from>
        <xdr:to>
          <xdr:col>14</xdr:col>
          <xdr:colOff>251460</xdr:colOff>
          <xdr:row>16</xdr:row>
          <xdr:rowOff>15875</xdr:rowOff>
        </xdr:to>
        <xdr:sp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648450" y="781050"/>
              <a:ext cx="3404235" cy="22447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4</xdr:row>
          <xdr:rowOff>76200</xdr:rowOff>
        </xdr:from>
        <xdr:to>
          <xdr:col>20</xdr:col>
          <xdr:colOff>269875</xdr:colOff>
          <xdr:row>16</xdr:row>
          <xdr:rowOff>34925</xdr:rowOff>
        </xdr:to>
        <xdr:sp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0067925" y="800100"/>
              <a:ext cx="4117975" cy="22447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e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260"/>
  <sheetViews>
    <sheetView tabSelected="1" zoomScale="115" zoomScaleNormal="115" workbookViewId="0">
      <selection activeCell="G7" sqref="G7"/>
    </sheetView>
  </sheetViews>
  <sheetFormatPr defaultColWidth="9" defaultRowHeight="15"/>
  <cols>
    <col min="1" max="1" width="16.375" style="5" customWidth="1"/>
    <col min="2" max="2" width="4.5" style="5" customWidth="1"/>
    <col min="3" max="3" width="7.375" style="5" customWidth="1"/>
    <col min="4" max="4" width="11.375" style="5" customWidth="1"/>
    <col min="5" max="5" width="9.625" style="5" customWidth="1"/>
    <col min="6" max="6" width="31.125" style="5" customWidth="1"/>
    <col min="7" max="7" width="48.625" style="5" customWidth="1"/>
    <col min="8" max="8" width="9" style="5"/>
    <col min="9" max="9" width="16.25" style="5" customWidth="1"/>
    <col min="10" max="10" width="4.875" style="5" customWidth="1"/>
    <col min="11" max="11" width="20.375" style="5" customWidth="1"/>
    <col min="12" max="12" width="10.375" style="5" customWidth="1"/>
    <col min="13" max="13" width="27.125" style="5" customWidth="1"/>
    <col min="14" max="14" width="21.125" style="5" customWidth="1"/>
    <col min="15" max="16384" width="9" style="5"/>
  </cols>
  <sheetData>
    <row r="1" spans="1:1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2" t="s">
        <v>9</v>
      </c>
      <c r="K1" s="5" t="s">
        <v>10</v>
      </c>
      <c r="L1" s="5" t="s">
        <v>11</v>
      </c>
      <c r="M1" s="5" t="s">
        <v>12</v>
      </c>
      <c r="N1" s="5" t="s">
        <v>13</v>
      </c>
    </row>
    <row r="2" spans="1:14">
      <c r="A2" s="5" t="s">
        <v>14</v>
      </c>
      <c r="B2" s="5">
        <v>76</v>
      </c>
      <c r="C2" s="5" t="s">
        <v>15</v>
      </c>
      <c r="D2" s="5" t="s">
        <v>16</v>
      </c>
      <c r="E2" s="5" t="s">
        <v>17</v>
      </c>
      <c r="F2" s="5" t="s">
        <v>18</v>
      </c>
      <c r="G2" s="5" t="s">
        <v>19</v>
      </c>
      <c r="H2" s="5">
        <v>180</v>
      </c>
      <c r="I2" s="5">
        <v>0</v>
      </c>
      <c r="J2" s="5">
        <v>180</v>
      </c>
      <c r="K2" s="5" t="s">
        <v>20</v>
      </c>
      <c r="M2" s="5" t="s">
        <v>21</v>
      </c>
      <c r="N2" s="5" t="s">
        <v>22</v>
      </c>
    </row>
    <row r="3" spans="1:13">
      <c r="A3" s="5" t="s">
        <v>23</v>
      </c>
      <c r="B3" s="5">
        <v>40</v>
      </c>
      <c r="C3" s="5" t="s">
        <v>15</v>
      </c>
      <c r="D3" s="5" t="s">
        <v>16</v>
      </c>
      <c r="E3" s="5" t="s">
        <v>17</v>
      </c>
      <c r="F3" s="5" t="s">
        <v>24</v>
      </c>
      <c r="G3" s="5" t="s">
        <v>25</v>
      </c>
      <c r="H3" s="5">
        <v>1262</v>
      </c>
      <c r="I3" s="5">
        <v>0</v>
      </c>
      <c r="J3" s="5">
        <v>1262</v>
      </c>
      <c r="K3" s="5" t="s">
        <v>20</v>
      </c>
      <c r="L3" s="5">
        <v>0</v>
      </c>
      <c r="M3" s="5" t="s">
        <v>26</v>
      </c>
    </row>
    <row r="4" spans="1:14">
      <c r="A4" s="5" t="s">
        <v>27</v>
      </c>
      <c r="B4" s="5">
        <v>46</v>
      </c>
      <c r="C4" s="5" t="s">
        <v>15</v>
      </c>
      <c r="D4" s="5" t="s">
        <v>16</v>
      </c>
      <c r="E4" s="5" t="s">
        <v>17</v>
      </c>
      <c r="F4" s="5" t="s">
        <v>18</v>
      </c>
      <c r="G4" s="5" t="s">
        <v>19</v>
      </c>
      <c r="H4" s="5">
        <v>1061</v>
      </c>
      <c r="I4" s="5">
        <v>861</v>
      </c>
      <c r="J4" s="5">
        <v>1922</v>
      </c>
      <c r="K4" s="5" t="s">
        <v>28</v>
      </c>
      <c r="M4" s="5" t="s">
        <v>29</v>
      </c>
      <c r="N4" s="5" t="s">
        <v>22</v>
      </c>
    </row>
    <row r="5" spans="1:13">
      <c r="A5" s="5" t="s">
        <v>30</v>
      </c>
      <c r="B5" s="5">
        <v>57</v>
      </c>
      <c r="C5" s="5" t="s">
        <v>15</v>
      </c>
      <c r="D5" s="5" t="s">
        <v>16</v>
      </c>
      <c r="E5" s="5" t="s">
        <v>17</v>
      </c>
      <c r="F5" s="5" t="s">
        <v>31</v>
      </c>
      <c r="G5" s="5" t="s">
        <v>32</v>
      </c>
      <c r="H5" s="5">
        <v>2034</v>
      </c>
      <c r="I5" s="5">
        <v>0</v>
      </c>
      <c r="J5" s="5">
        <v>2034</v>
      </c>
      <c r="K5" s="5">
        <v>0</v>
      </c>
      <c r="M5" s="5" t="s">
        <v>26</v>
      </c>
    </row>
    <row r="6" spans="1:13">
      <c r="A6" s="5" t="s">
        <v>33</v>
      </c>
      <c r="B6" s="5">
        <v>58</v>
      </c>
      <c r="C6" s="5" t="s">
        <v>34</v>
      </c>
      <c r="D6" s="5" t="s">
        <v>16</v>
      </c>
      <c r="E6" s="5" t="s">
        <v>17</v>
      </c>
      <c r="F6" s="5" t="s">
        <v>31</v>
      </c>
      <c r="G6" s="5" t="s">
        <v>32</v>
      </c>
      <c r="H6" s="5">
        <v>564</v>
      </c>
      <c r="I6" s="5">
        <v>0</v>
      </c>
      <c r="J6" s="5">
        <v>564</v>
      </c>
      <c r="K6" s="5">
        <v>0</v>
      </c>
      <c r="M6" s="5" t="s">
        <v>26</v>
      </c>
    </row>
    <row r="7" spans="1:13">
      <c r="A7" s="5" t="s">
        <v>35</v>
      </c>
      <c r="B7" s="5">
        <v>40</v>
      </c>
      <c r="C7" s="5" t="s">
        <v>15</v>
      </c>
      <c r="D7" s="5" t="s">
        <v>16</v>
      </c>
      <c r="E7" s="5" t="s">
        <v>17</v>
      </c>
      <c r="F7" s="5" t="s">
        <v>31</v>
      </c>
      <c r="G7" s="5" t="s">
        <v>32</v>
      </c>
      <c r="H7" s="5">
        <v>160</v>
      </c>
      <c r="I7" s="5">
        <v>0</v>
      </c>
      <c r="J7" s="5">
        <v>160</v>
      </c>
      <c r="K7" s="5">
        <v>0</v>
      </c>
      <c r="M7" s="5" t="s">
        <v>26</v>
      </c>
    </row>
    <row r="8" spans="1:13">
      <c r="A8" s="5" t="s">
        <v>36</v>
      </c>
      <c r="B8" s="5">
        <v>80</v>
      </c>
      <c r="C8" s="5" t="s">
        <v>34</v>
      </c>
      <c r="D8" s="5" t="s">
        <v>16</v>
      </c>
      <c r="E8" s="5" t="s">
        <v>17</v>
      </c>
      <c r="F8" s="5" t="s">
        <v>31</v>
      </c>
      <c r="G8" s="5" t="s">
        <v>32</v>
      </c>
      <c r="H8" s="5">
        <v>191</v>
      </c>
      <c r="I8" s="5">
        <v>0</v>
      </c>
      <c r="J8" s="5">
        <v>191</v>
      </c>
      <c r="K8" s="5">
        <v>0</v>
      </c>
      <c r="M8" s="5" t="s">
        <v>26</v>
      </c>
    </row>
    <row r="9" spans="1:13">
      <c r="A9" s="5" t="s">
        <v>37</v>
      </c>
      <c r="B9" s="5">
        <v>74</v>
      </c>
      <c r="C9" s="5" t="s">
        <v>34</v>
      </c>
      <c r="D9" s="5" t="s">
        <v>16</v>
      </c>
      <c r="E9" s="5" t="s">
        <v>17</v>
      </c>
      <c r="F9" s="5" t="s">
        <v>31</v>
      </c>
      <c r="G9" s="5" t="s">
        <v>32</v>
      </c>
      <c r="H9" s="5">
        <v>846</v>
      </c>
      <c r="I9" s="5">
        <v>0</v>
      </c>
      <c r="J9" s="5">
        <v>846</v>
      </c>
      <c r="K9" s="5">
        <v>0</v>
      </c>
      <c r="M9" s="5" t="s">
        <v>26</v>
      </c>
    </row>
    <row r="10" spans="1:13">
      <c r="A10" s="5" t="s">
        <v>38</v>
      </c>
      <c r="B10" s="5">
        <v>43</v>
      </c>
      <c r="C10" s="5" t="s">
        <v>15</v>
      </c>
      <c r="D10" s="5" t="s">
        <v>16</v>
      </c>
      <c r="E10" s="5" t="s">
        <v>17</v>
      </c>
      <c r="F10" s="5" t="s">
        <v>18</v>
      </c>
      <c r="G10" s="5" t="s">
        <v>19</v>
      </c>
      <c r="H10" s="5">
        <v>119</v>
      </c>
      <c r="I10" s="5">
        <v>0</v>
      </c>
      <c r="J10" s="5">
        <v>119</v>
      </c>
      <c r="K10" s="5">
        <v>0</v>
      </c>
      <c r="L10" s="5">
        <v>0</v>
      </c>
      <c r="M10" s="5" t="s">
        <v>21</v>
      </c>
    </row>
    <row r="11" spans="1:13">
      <c r="A11" s="5" t="s">
        <v>39</v>
      </c>
      <c r="B11" s="5">
        <v>58</v>
      </c>
      <c r="C11" s="5" t="s">
        <v>15</v>
      </c>
      <c r="D11" s="5" t="s">
        <v>16</v>
      </c>
      <c r="E11" s="5" t="s">
        <v>17</v>
      </c>
      <c r="F11" s="5" t="s">
        <v>18</v>
      </c>
      <c r="G11" s="5" t="s">
        <v>19</v>
      </c>
      <c r="H11" s="5">
        <v>550</v>
      </c>
      <c r="I11" s="5">
        <v>0</v>
      </c>
      <c r="J11" s="5">
        <v>550</v>
      </c>
      <c r="K11" s="5">
        <v>0</v>
      </c>
      <c r="L11" s="5">
        <v>0</v>
      </c>
      <c r="M11" s="5" t="s">
        <v>21</v>
      </c>
    </row>
    <row r="12" spans="1:13">
      <c r="A12" s="5" t="s">
        <v>40</v>
      </c>
      <c r="B12" s="5">
        <v>60</v>
      </c>
      <c r="C12" s="5" t="s">
        <v>15</v>
      </c>
      <c r="D12" s="5" t="s">
        <v>16</v>
      </c>
      <c r="E12" s="5" t="s">
        <v>17</v>
      </c>
      <c r="F12" s="5" t="s">
        <v>31</v>
      </c>
      <c r="G12" s="5" t="s">
        <v>32</v>
      </c>
      <c r="H12" s="5">
        <v>1020</v>
      </c>
      <c r="I12" s="5">
        <v>960</v>
      </c>
      <c r="J12" s="5">
        <v>1980</v>
      </c>
      <c r="K12" s="5">
        <v>0</v>
      </c>
      <c r="M12" s="5" t="s">
        <v>26</v>
      </c>
    </row>
    <row r="13" spans="1:14">
      <c r="A13" s="5" t="s">
        <v>41</v>
      </c>
      <c r="B13" s="5">
        <v>41</v>
      </c>
      <c r="C13" s="5" t="s">
        <v>15</v>
      </c>
      <c r="D13" s="5" t="s">
        <v>16</v>
      </c>
      <c r="E13" s="5" t="s">
        <v>17</v>
      </c>
      <c r="F13" s="5" t="s">
        <v>18</v>
      </c>
      <c r="G13" s="5" t="s">
        <v>19</v>
      </c>
      <c r="H13" s="5">
        <v>1073</v>
      </c>
      <c r="I13" s="5">
        <v>259</v>
      </c>
      <c r="J13" s="5">
        <v>1332</v>
      </c>
      <c r="K13" s="5" t="s">
        <v>20</v>
      </c>
      <c r="M13" s="5" t="s">
        <v>29</v>
      </c>
      <c r="N13" s="5" t="s">
        <v>22</v>
      </c>
    </row>
    <row r="14" spans="1:13">
      <c r="A14" s="5" t="s">
        <v>42</v>
      </c>
      <c r="B14" s="5">
        <v>70</v>
      </c>
      <c r="C14" s="5" t="s">
        <v>34</v>
      </c>
      <c r="D14" s="5" t="s">
        <v>16</v>
      </c>
      <c r="E14" s="5" t="s">
        <v>17</v>
      </c>
      <c r="F14" s="5" t="s">
        <v>18</v>
      </c>
      <c r="G14" s="5" t="s">
        <v>32</v>
      </c>
      <c r="H14" s="5">
        <v>1164</v>
      </c>
      <c r="I14" s="5">
        <v>0</v>
      </c>
      <c r="J14" s="5">
        <v>1164</v>
      </c>
      <c r="K14" s="5" t="s">
        <v>20</v>
      </c>
      <c r="L14" s="5">
        <v>0</v>
      </c>
      <c r="M14" s="5" t="s">
        <v>26</v>
      </c>
    </row>
    <row r="15" spans="1:13">
      <c r="A15" s="5" t="s">
        <v>43</v>
      </c>
      <c r="B15" s="5">
        <v>80</v>
      </c>
      <c r="C15" s="5" t="s">
        <v>34</v>
      </c>
      <c r="D15" s="5" t="s">
        <v>16</v>
      </c>
      <c r="E15" s="5" t="s">
        <v>17</v>
      </c>
      <c r="F15" s="5" t="s">
        <v>18</v>
      </c>
      <c r="G15" s="5" t="s">
        <v>44</v>
      </c>
      <c r="H15" s="5">
        <v>767</v>
      </c>
      <c r="I15" s="5">
        <v>0</v>
      </c>
      <c r="J15" s="5">
        <v>767</v>
      </c>
      <c r="K15" s="5" t="s">
        <v>20</v>
      </c>
      <c r="L15" s="5">
        <v>0</v>
      </c>
      <c r="M15" s="5" t="s">
        <v>21</v>
      </c>
    </row>
    <row r="16" spans="1:14">
      <c r="A16" s="5" t="s">
        <v>45</v>
      </c>
      <c r="B16" s="5">
        <v>55</v>
      </c>
      <c r="C16" s="5" t="s">
        <v>15</v>
      </c>
      <c r="D16" s="5" t="s">
        <v>16</v>
      </c>
      <c r="E16" s="5" t="s">
        <v>17</v>
      </c>
      <c r="F16" s="5" t="s">
        <v>18</v>
      </c>
      <c r="G16" s="5" t="s">
        <v>46</v>
      </c>
      <c r="H16" s="5">
        <v>1941</v>
      </c>
      <c r="I16" s="5">
        <v>1106</v>
      </c>
      <c r="J16" s="5">
        <v>3047</v>
      </c>
      <c r="K16" s="5" t="s">
        <v>47</v>
      </c>
      <c r="M16" s="5" t="s">
        <v>21</v>
      </c>
      <c r="N16" s="5" t="s">
        <v>22</v>
      </c>
    </row>
    <row r="17" spans="1:13">
      <c r="A17" s="5" t="s">
        <v>48</v>
      </c>
      <c r="B17" s="5">
        <v>60</v>
      </c>
      <c r="C17" s="5" t="s">
        <v>34</v>
      </c>
      <c r="D17" s="5" t="s">
        <v>16</v>
      </c>
      <c r="E17" s="5" t="s">
        <v>17</v>
      </c>
      <c r="F17" s="5" t="s">
        <v>31</v>
      </c>
      <c r="G17" s="5" t="s">
        <v>32</v>
      </c>
      <c r="H17" s="5">
        <v>1649</v>
      </c>
      <c r="I17" s="5">
        <v>1420</v>
      </c>
      <c r="J17" s="5">
        <v>3069</v>
      </c>
      <c r="K17" s="5" t="s">
        <v>49</v>
      </c>
      <c r="M17" s="5" t="s">
        <v>26</v>
      </c>
    </row>
    <row r="18" spans="1:14">
      <c r="A18" s="5" t="s">
        <v>50</v>
      </c>
      <c r="B18" s="5">
        <v>55</v>
      </c>
      <c r="C18" s="5" t="s">
        <v>34</v>
      </c>
      <c r="D18" s="5" t="s">
        <v>16</v>
      </c>
      <c r="E18" s="5" t="s">
        <v>17</v>
      </c>
      <c r="F18" s="5" t="s">
        <v>51</v>
      </c>
      <c r="G18" s="5" t="s">
        <v>52</v>
      </c>
      <c r="H18" s="5">
        <v>1067</v>
      </c>
      <c r="I18" s="5">
        <v>749</v>
      </c>
      <c r="J18" s="5">
        <v>1816</v>
      </c>
      <c r="K18" s="5" t="s">
        <v>53</v>
      </c>
      <c r="M18" s="5" t="s">
        <v>21</v>
      </c>
      <c r="N18" s="5" t="s">
        <v>22</v>
      </c>
    </row>
    <row r="19" spans="1:13">
      <c r="A19" s="5" t="s">
        <v>54</v>
      </c>
      <c r="B19" s="5">
        <v>73</v>
      </c>
      <c r="C19" s="5" t="s">
        <v>15</v>
      </c>
      <c r="D19" s="5" t="s">
        <v>16</v>
      </c>
      <c r="E19" s="5" t="s">
        <v>17</v>
      </c>
      <c r="F19" s="5" t="s">
        <v>55</v>
      </c>
      <c r="G19" s="5" t="s">
        <v>52</v>
      </c>
      <c r="H19" s="5">
        <v>404</v>
      </c>
      <c r="I19" s="5">
        <v>0</v>
      </c>
      <c r="J19" s="5">
        <v>404</v>
      </c>
      <c r="K19" s="5" t="s">
        <v>20</v>
      </c>
      <c r="L19" s="5">
        <v>0</v>
      </c>
      <c r="M19" s="5" t="s">
        <v>26</v>
      </c>
    </row>
    <row r="20" spans="1:13">
      <c r="A20" s="5" t="s">
        <v>56</v>
      </c>
      <c r="B20" s="5">
        <v>53</v>
      </c>
      <c r="C20" s="5" t="s">
        <v>15</v>
      </c>
      <c r="D20" s="5" t="s">
        <v>16</v>
      </c>
      <c r="E20" s="5" t="s">
        <v>17</v>
      </c>
      <c r="F20" s="5" t="s">
        <v>18</v>
      </c>
      <c r="G20" s="5" t="s">
        <v>57</v>
      </c>
      <c r="H20" s="5">
        <v>1478</v>
      </c>
      <c r="I20" s="5">
        <v>0</v>
      </c>
      <c r="J20" s="5">
        <v>1478</v>
      </c>
      <c r="K20" s="5" t="s">
        <v>58</v>
      </c>
      <c r="L20" s="5">
        <v>0</v>
      </c>
      <c r="M20" s="5" t="s">
        <v>26</v>
      </c>
    </row>
    <row r="21" spans="1:13">
      <c r="A21" s="5" t="s">
        <v>59</v>
      </c>
      <c r="B21" s="5">
        <v>80</v>
      </c>
      <c r="C21" s="5" t="s">
        <v>34</v>
      </c>
      <c r="D21" s="5" t="s">
        <v>16</v>
      </c>
      <c r="E21" s="5" t="s">
        <v>17</v>
      </c>
      <c r="F21" s="5" t="s">
        <v>31</v>
      </c>
      <c r="G21" s="5" t="s">
        <v>32</v>
      </c>
      <c r="H21" s="5">
        <v>978</v>
      </c>
      <c r="I21" s="5">
        <v>0</v>
      </c>
      <c r="J21" s="5">
        <v>978</v>
      </c>
      <c r="K21" s="5" t="s">
        <v>20</v>
      </c>
      <c r="L21" s="5">
        <v>0</v>
      </c>
      <c r="M21" s="5" t="s">
        <v>26</v>
      </c>
    </row>
    <row r="22" spans="1:13">
      <c r="A22" s="5" t="s">
        <v>60</v>
      </c>
      <c r="B22" s="5">
        <v>67</v>
      </c>
      <c r="C22" s="5" t="s">
        <v>34</v>
      </c>
      <c r="D22" s="5" t="s">
        <v>16</v>
      </c>
      <c r="E22" s="5" t="s">
        <v>17</v>
      </c>
      <c r="F22" s="5" t="s">
        <v>31</v>
      </c>
      <c r="G22" s="5" t="s">
        <v>61</v>
      </c>
      <c r="H22" s="5">
        <v>599</v>
      </c>
      <c r="I22" s="5">
        <v>0</v>
      </c>
      <c r="J22" s="5">
        <v>599</v>
      </c>
      <c r="K22" s="5" t="s">
        <v>20</v>
      </c>
      <c r="L22" s="5">
        <v>0</v>
      </c>
      <c r="M22" s="5" t="s">
        <v>26</v>
      </c>
    </row>
    <row r="23" spans="1:13">
      <c r="A23" s="5" t="s">
        <v>62</v>
      </c>
      <c r="B23" s="5">
        <v>63</v>
      </c>
      <c r="C23" s="5" t="s">
        <v>15</v>
      </c>
      <c r="D23" s="5" t="s">
        <v>16</v>
      </c>
      <c r="E23" s="5" t="s">
        <v>17</v>
      </c>
      <c r="F23" s="5" t="s">
        <v>31</v>
      </c>
      <c r="G23" s="5" t="s">
        <v>32</v>
      </c>
      <c r="H23" s="5">
        <v>1088</v>
      </c>
      <c r="I23" s="5">
        <v>540</v>
      </c>
      <c r="J23" s="5">
        <v>1628</v>
      </c>
      <c r="K23" s="5" t="s">
        <v>63</v>
      </c>
      <c r="M23" s="5" t="s">
        <v>26</v>
      </c>
    </row>
    <row r="24" spans="1:13">
      <c r="A24" s="5" t="s">
        <v>64</v>
      </c>
      <c r="B24" s="5">
        <v>60</v>
      </c>
      <c r="C24" s="5" t="s">
        <v>15</v>
      </c>
      <c r="D24" s="5" t="s">
        <v>16</v>
      </c>
      <c r="E24" s="5" t="s">
        <v>17</v>
      </c>
      <c r="F24" s="5" t="s">
        <v>31</v>
      </c>
      <c r="G24" s="5" t="s">
        <v>32</v>
      </c>
      <c r="H24" s="5">
        <v>550</v>
      </c>
      <c r="I24" s="5">
        <v>0</v>
      </c>
      <c r="J24" s="5">
        <v>550</v>
      </c>
      <c r="K24" s="5">
        <v>0</v>
      </c>
      <c r="L24" s="5">
        <v>0</v>
      </c>
      <c r="M24" s="5" t="s">
        <v>21</v>
      </c>
    </row>
    <row r="25" spans="1:13">
      <c r="A25" s="5" t="s">
        <v>65</v>
      </c>
      <c r="B25" s="5">
        <v>86</v>
      </c>
      <c r="C25" s="5" t="s">
        <v>15</v>
      </c>
      <c r="D25" s="5" t="s">
        <v>66</v>
      </c>
      <c r="E25" s="5" t="s">
        <v>17</v>
      </c>
      <c r="F25" s="5" t="s">
        <v>51</v>
      </c>
      <c r="G25" s="5" t="s">
        <v>67</v>
      </c>
      <c r="H25" s="5">
        <v>93</v>
      </c>
      <c r="I25" s="5">
        <v>0</v>
      </c>
      <c r="J25" s="5">
        <v>93</v>
      </c>
      <c r="K25" s="5">
        <v>0</v>
      </c>
      <c r="L25" s="5">
        <v>0</v>
      </c>
      <c r="M25" s="5" t="s">
        <v>21</v>
      </c>
    </row>
    <row r="26" spans="1:14">
      <c r="A26" s="5" t="s">
        <v>68</v>
      </c>
      <c r="B26" s="5">
        <v>56</v>
      </c>
      <c r="C26" s="5" t="s">
        <v>15</v>
      </c>
      <c r="D26" s="5" t="s">
        <v>16</v>
      </c>
      <c r="E26" s="5" t="s">
        <v>17</v>
      </c>
      <c r="F26" s="5" t="s">
        <v>18</v>
      </c>
      <c r="G26" s="5" t="s">
        <v>19</v>
      </c>
      <c r="H26" s="5">
        <v>605</v>
      </c>
      <c r="I26" s="5">
        <v>2</v>
      </c>
      <c r="J26" s="5">
        <v>607</v>
      </c>
      <c r="K26" s="5" t="s">
        <v>20</v>
      </c>
      <c r="M26" s="5" t="s">
        <v>21</v>
      </c>
      <c r="N26" s="5" t="s">
        <v>22</v>
      </c>
    </row>
    <row r="27" spans="1:14">
      <c r="A27" s="5" t="s">
        <v>69</v>
      </c>
      <c r="B27" s="5">
        <v>78</v>
      </c>
      <c r="C27" s="5" t="s">
        <v>15</v>
      </c>
      <c r="D27" s="5" t="s">
        <v>16</v>
      </c>
      <c r="E27" s="5" t="s">
        <v>17</v>
      </c>
      <c r="F27" s="5" t="s">
        <v>31</v>
      </c>
      <c r="G27" s="5" t="s">
        <v>32</v>
      </c>
      <c r="H27" s="5">
        <v>275</v>
      </c>
      <c r="I27" s="5">
        <v>0</v>
      </c>
      <c r="J27" s="5">
        <v>275</v>
      </c>
      <c r="K27" s="5" t="s">
        <v>20</v>
      </c>
      <c r="M27" s="5" t="s">
        <v>29</v>
      </c>
      <c r="N27" s="5" t="s">
        <v>22</v>
      </c>
    </row>
    <row r="28" spans="1:13">
      <c r="A28" s="5" t="s">
        <v>70</v>
      </c>
      <c r="B28" s="5">
        <v>48</v>
      </c>
      <c r="C28" s="5" t="s">
        <v>15</v>
      </c>
      <c r="D28" s="5" t="s">
        <v>16</v>
      </c>
      <c r="E28" s="5" t="s">
        <v>17</v>
      </c>
      <c r="F28" s="5" t="s">
        <v>18</v>
      </c>
      <c r="G28" s="5" t="s">
        <v>19</v>
      </c>
      <c r="H28" s="5">
        <v>437</v>
      </c>
      <c r="I28" s="5">
        <v>0</v>
      </c>
      <c r="J28" s="5">
        <v>437</v>
      </c>
      <c r="K28" s="5" t="s">
        <v>20</v>
      </c>
      <c r="L28" s="5">
        <v>0</v>
      </c>
      <c r="M28" s="5" t="s">
        <v>21</v>
      </c>
    </row>
    <row r="29" spans="1:13">
      <c r="A29" s="5" t="s">
        <v>71</v>
      </c>
      <c r="B29" s="5">
        <v>66</v>
      </c>
      <c r="C29" s="5" t="s">
        <v>15</v>
      </c>
      <c r="D29" s="5" t="s">
        <v>16</v>
      </c>
      <c r="E29" s="5" t="s">
        <v>17</v>
      </c>
      <c r="F29" s="5" t="s">
        <v>31</v>
      </c>
      <c r="G29" s="5" t="s">
        <v>32</v>
      </c>
      <c r="H29" s="5">
        <v>363</v>
      </c>
      <c r="I29" s="5">
        <v>0</v>
      </c>
      <c r="J29" s="5">
        <v>363</v>
      </c>
      <c r="K29" s="5">
        <v>0</v>
      </c>
      <c r="L29" s="5">
        <v>0</v>
      </c>
      <c r="M29" s="5" t="s">
        <v>26</v>
      </c>
    </row>
    <row r="30" spans="1:14">
      <c r="A30" s="5" t="s">
        <v>72</v>
      </c>
      <c r="B30" s="5">
        <v>72</v>
      </c>
      <c r="C30" s="5" t="s">
        <v>15</v>
      </c>
      <c r="D30" s="5" t="s">
        <v>16</v>
      </c>
      <c r="E30" s="5" t="s">
        <v>17</v>
      </c>
      <c r="F30" s="5" t="s">
        <v>55</v>
      </c>
      <c r="G30" s="5" t="s">
        <v>52</v>
      </c>
      <c r="H30" s="5">
        <v>540</v>
      </c>
      <c r="I30" s="5">
        <v>406</v>
      </c>
      <c r="J30" s="5">
        <v>946</v>
      </c>
      <c r="K30" s="5" t="s">
        <v>20</v>
      </c>
      <c r="L30" s="5">
        <v>0</v>
      </c>
      <c r="M30" s="5" t="s">
        <v>21</v>
      </c>
      <c r="N30" s="5" t="s">
        <v>22</v>
      </c>
    </row>
    <row r="31" spans="1:13">
      <c r="A31" s="5" t="s">
        <v>73</v>
      </c>
      <c r="B31" s="5">
        <v>69</v>
      </c>
      <c r="C31" s="5" t="s">
        <v>34</v>
      </c>
      <c r="D31" s="5" t="s">
        <v>16</v>
      </c>
      <c r="E31" s="5" t="s">
        <v>17</v>
      </c>
      <c r="F31" s="5" t="s">
        <v>24</v>
      </c>
      <c r="G31" s="5" t="s">
        <v>74</v>
      </c>
      <c r="H31" s="5">
        <v>1466</v>
      </c>
      <c r="I31" s="5">
        <v>0</v>
      </c>
      <c r="J31" s="5">
        <v>1466</v>
      </c>
      <c r="K31" s="5">
        <v>0</v>
      </c>
      <c r="L31" s="5">
        <v>0</v>
      </c>
      <c r="M31" s="5" t="s">
        <v>21</v>
      </c>
    </row>
    <row r="32" spans="1:13">
      <c r="A32" s="5" t="s">
        <v>75</v>
      </c>
      <c r="B32" s="5">
        <v>68</v>
      </c>
      <c r="C32" s="5" t="s">
        <v>15</v>
      </c>
      <c r="D32" s="5" t="s">
        <v>76</v>
      </c>
      <c r="E32" s="5" t="s">
        <v>17</v>
      </c>
      <c r="F32" s="5" t="s">
        <v>55</v>
      </c>
      <c r="G32" s="5" t="s">
        <v>52</v>
      </c>
      <c r="H32" s="5">
        <v>850</v>
      </c>
      <c r="I32" s="5">
        <v>0</v>
      </c>
      <c r="J32" s="5">
        <v>850</v>
      </c>
      <c r="K32" s="5" t="s">
        <v>77</v>
      </c>
      <c r="L32" s="5">
        <v>0</v>
      </c>
      <c r="M32" s="5" t="s">
        <v>21</v>
      </c>
    </row>
    <row r="33" spans="1:13">
      <c r="A33" s="5" t="s">
        <v>78</v>
      </c>
      <c r="B33" s="5">
        <v>44</v>
      </c>
      <c r="C33" s="5" t="s">
        <v>34</v>
      </c>
      <c r="D33" s="5" t="s">
        <v>76</v>
      </c>
      <c r="E33" s="5" t="s">
        <v>17</v>
      </c>
      <c r="F33" s="5" t="s">
        <v>18</v>
      </c>
      <c r="G33" s="5" t="s">
        <v>32</v>
      </c>
      <c r="H33" s="5">
        <v>296</v>
      </c>
      <c r="I33" s="5">
        <v>0</v>
      </c>
      <c r="J33" s="5">
        <v>296</v>
      </c>
      <c r="K33" s="5">
        <v>0</v>
      </c>
      <c r="M33" s="5" t="s">
        <v>26</v>
      </c>
    </row>
    <row r="34" spans="1:13">
      <c r="A34" s="5" t="s">
        <v>79</v>
      </c>
      <c r="B34" s="5">
        <v>81</v>
      </c>
      <c r="C34" s="5" t="s">
        <v>34</v>
      </c>
      <c r="D34" s="5" t="s">
        <v>16</v>
      </c>
      <c r="E34" s="5" t="s">
        <v>17</v>
      </c>
      <c r="F34" s="5" t="s">
        <v>31</v>
      </c>
      <c r="G34" s="5" t="s">
        <v>67</v>
      </c>
      <c r="H34" s="5">
        <v>2324</v>
      </c>
      <c r="I34" s="5">
        <v>0</v>
      </c>
      <c r="J34" s="5">
        <v>2324</v>
      </c>
      <c r="K34" s="5">
        <v>0</v>
      </c>
      <c r="M34" s="5" t="s">
        <v>26</v>
      </c>
    </row>
    <row r="35" spans="1:13">
      <c r="A35" s="5" t="s">
        <v>80</v>
      </c>
      <c r="B35" s="5">
        <v>55</v>
      </c>
      <c r="C35" s="5" t="s">
        <v>15</v>
      </c>
      <c r="D35" s="5" t="s">
        <v>16</v>
      </c>
      <c r="E35" s="5" t="s">
        <v>17</v>
      </c>
      <c r="F35" s="5" t="s">
        <v>18</v>
      </c>
      <c r="G35" s="5" t="s">
        <v>19</v>
      </c>
      <c r="H35" s="5">
        <v>858</v>
      </c>
      <c r="I35" s="5">
        <v>0</v>
      </c>
      <c r="J35" s="5">
        <v>858</v>
      </c>
      <c r="K35" s="5" t="s">
        <v>47</v>
      </c>
      <c r="L35" s="5">
        <v>0</v>
      </c>
      <c r="M35" s="5" t="s">
        <v>29</v>
      </c>
    </row>
    <row r="36" spans="1:13">
      <c r="A36" s="5" t="s">
        <v>81</v>
      </c>
      <c r="B36" s="5">
        <v>69</v>
      </c>
      <c r="C36" s="5" t="s">
        <v>15</v>
      </c>
      <c r="D36" s="5" t="s">
        <v>76</v>
      </c>
      <c r="E36" s="5" t="s">
        <v>17</v>
      </c>
      <c r="F36" s="5" t="s">
        <v>18</v>
      </c>
      <c r="G36" s="5" t="s">
        <v>19</v>
      </c>
      <c r="H36" s="5">
        <v>32</v>
      </c>
      <c r="I36" s="5">
        <v>0</v>
      </c>
      <c r="J36" s="5">
        <v>32</v>
      </c>
      <c r="K36" s="5" t="s">
        <v>63</v>
      </c>
      <c r="L36" s="5">
        <v>0</v>
      </c>
      <c r="M36" s="5" t="s">
        <v>21</v>
      </c>
    </row>
    <row r="37" spans="1:14">
      <c r="A37" s="5" t="s">
        <v>82</v>
      </c>
      <c r="B37" s="5">
        <v>66</v>
      </c>
      <c r="C37" s="5" t="s">
        <v>15</v>
      </c>
      <c r="D37" s="5" t="s">
        <v>16</v>
      </c>
      <c r="E37" s="5" t="s">
        <v>17</v>
      </c>
      <c r="F37" s="5" t="s">
        <v>18</v>
      </c>
      <c r="G37" s="5" t="s">
        <v>83</v>
      </c>
      <c r="H37" s="5">
        <v>1061</v>
      </c>
      <c r="I37" s="5">
        <v>0</v>
      </c>
      <c r="J37" s="5">
        <v>1061</v>
      </c>
      <c r="K37" s="5" t="s">
        <v>63</v>
      </c>
      <c r="M37" s="5" t="s">
        <v>29</v>
      </c>
      <c r="N37" s="5" t="s">
        <v>22</v>
      </c>
    </row>
    <row r="38" spans="1:13">
      <c r="A38" s="5" t="s">
        <v>84</v>
      </c>
      <c r="B38" s="5">
        <v>84</v>
      </c>
      <c r="C38" s="5" t="s">
        <v>34</v>
      </c>
      <c r="D38" s="5" t="s">
        <v>16</v>
      </c>
      <c r="E38" s="5" t="s">
        <v>17</v>
      </c>
      <c r="F38" s="5" t="s">
        <v>18</v>
      </c>
      <c r="G38" s="5" t="s">
        <v>32</v>
      </c>
      <c r="H38" s="5">
        <v>456</v>
      </c>
      <c r="I38" s="5">
        <v>0</v>
      </c>
      <c r="J38" s="5">
        <v>456</v>
      </c>
      <c r="K38" s="5" t="s">
        <v>63</v>
      </c>
      <c r="M38" s="5" t="s">
        <v>26</v>
      </c>
    </row>
    <row r="39" spans="1:13">
      <c r="A39" s="5" t="s">
        <v>85</v>
      </c>
      <c r="B39" s="5">
        <v>57</v>
      </c>
      <c r="C39" s="5" t="s">
        <v>34</v>
      </c>
      <c r="D39" s="5" t="s">
        <v>16</v>
      </c>
      <c r="E39" s="5" t="s">
        <v>17</v>
      </c>
      <c r="F39" s="5" t="s">
        <v>31</v>
      </c>
      <c r="G39" s="5" t="s">
        <v>32</v>
      </c>
      <c r="H39" s="5">
        <v>146</v>
      </c>
      <c r="I39" s="5">
        <v>0</v>
      </c>
      <c r="J39" s="5">
        <v>146</v>
      </c>
      <c r="K39" s="5">
        <v>0</v>
      </c>
      <c r="L39" s="5">
        <v>0</v>
      </c>
      <c r="M39" s="5" t="s">
        <v>26</v>
      </c>
    </row>
    <row r="40" spans="1:14">
      <c r="A40" s="5" t="s">
        <v>86</v>
      </c>
      <c r="B40" s="5">
        <v>67</v>
      </c>
      <c r="C40" s="5" t="s">
        <v>34</v>
      </c>
      <c r="D40" s="5" t="s">
        <v>16</v>
      </c>
      <c r="E40" s="5" t="s">
        <v>17</v>
      </c>
      <c r="F40" s="5" t="s">
        <v>18</v>
      </c>
      <c r="G40" s="5" t="s">
        <v>52</v>
      </c>
      <c r="H40" s="5">
        <v>1552</v>
      </c>
      <c r="I40" s="5">
        <v>1301</v>
      </c>
      <c r="J40" s="5">
        <v>2853</v>
      </c>
      <c r="K40" s="5" t="s">
        <v>87</v>
      </c>
      <c r="M40" s="5" t="s">
        <v>29</v>
      </c>
      <c r="N40" s="5" t="s">
        <v>22</v>
      </c>
    </row>
    <row r="41" spans="1:13">
      <c r="A41" s="5" t="s">
        <v>88</v>
      </c>
      <c r="B41" s="5">
        <v>58</v>
      </c>
      <c r="C41" s="5" t="s">
        <v>34</v>
      </c>
      <c r="D41" s="5" t="s">
        <v>16</v>
      </c>
      <c r="E41" s="5" t="s">
        <v>17</v>
      </c>
      <c r="F41" s="5" t="s">
        <v>89</v>
      </c>
      <c r="G41" s="5" t="s">
        <v>52</v>
      </c>
      <c r="H41" s="5">
        <v>1116</v>
      </c>
      <c r="I41" s="5">
        <v>0</v>
      </c>
      <c r="J41" s="5">
        <v>1116</v>
      </c>
      <c r="K41" s="5" t="s">
        <v>20</v>
      </c>
      <c r="L41" s="5">
        <v>0</v>
      </c>
      <c r="M41" s="5" t="s">
        <v>21</v>
      </c>
    </row>
    <row r="42" spans="1:13">
      <c r="A42" s="5" t="s">
        <v>90</v>
      </c>
      <c r="B42" s="5">
        <v>56</v>
      </c>
      <c r="C42" s="5" t="s">
        <v>15</v>
      </c>
      <c r="D42" s="5" t="s">
        <v>16</v>
      </c>
      <c r="E42" s="5" t="s">
        <v>17</v>
      </c>
      <c r="F42" s="5" t="s">
        <v>18</v>
      </c>
      <c r="G42" s="5" t="s">
        <v>91</v>
      </c>
      <c r="H42" s="5">
        <v>1722</v>
      </c>
      <c r="I42" s="5">
        <v>0</v>
      </c>
      <c r="J42" s="5">
        <v>1722</v>
      </c>
      <c r="K42" s="5">
        <v>0</v>
      </c>
      <c r="L42" s="5">
        <v>0</v>
      </c>
      <c r="M42" s="5" t="s">
        <v>26</v>
      </c>
    </row>
    <row r="43" spans="1:13">
      <c r="A43" s="5" t="s">
        <v>92</v>
      </c>
      <c r="B43" s="5">
        <v>61</v>
      </c>
      <c r="C43" s="5" t="s">
        <v>34</v>
      </c>
      <c r="D43" s="5" t="s">
        <v>16</v>
      </c>
      <c r="E43" s="5" t="s">
        <v>17</v>
      </c>
      <c r="F43" s="5" t="s">
        <v>31</v>
      </c>
      <c r="G43" s="5" t="s">
        <v>32</v>
      </c>
      <c r="H43" s="5">
        <v>295</v>
      </c>
      <c r="I43" s="5">
        <v>0</v>
      </c>
      <c r="J43" s="5">
        <v>295</v>
      </c>
      <c r="K43" s="5">
        <v>0</v>
      </c>
      <c r="M43" s="5" t="s">
        <v>26</v>
      </c>
    </row>
    <row r="44" spans="1:13">
      <c r="A44" s="5" t="s">
        <v>93</v>
      </c>
      <c r="B44" s="5">
        <v>74</v>
      </c>
      <c r="C44" s="5" t="s">
        <v>34</v>
      </c>
      <c r="D44" s="5" t="s">
        <v>16</v>
      </c>
      <c r="E44" s="5" t="s">
        <v>17</v>
      </c>
      <c r="F44" s="5" t="s">
        <v>51</v>
      </c>
      <c r="G44" s="5" t="s">
        <v>52</v>
      </c>
      <c r="H44" s="5">
        <v>1536</v>
      </c>
      <c r="I44" s="5">
        <v>0</v>
      </c>
      <c r="J44" s="5">
        <v>1536</v>
      </c>
      <c r="K44" s="5">
        <v>0</v>
      </c>
      <c r="L44" s="5">
        <v>0</v>
      </c>
      <c r="M44" s="5" t="s">
        <v>21</v>
      </c>
    </row>
    <row r="45" spans="1:13">
      <c r="A45" s="5" t="s">
        <v>94</v>
      </c>
      <c r="B45" s="5">
        <v>77</v>
      </c>
      <c r="C45" s="5" t="s">
        <v>15</v>
      </c>
      <c r="D45" s="5" t="s">
        <v>16</v>
      </c>
      <c r="E45" s="5" t="s">
        <v>17</v>
      </c>
      <c r="F45" s="5" t="s">
        <v>18</v>
      </c>
      <c r="G45" s="5" t="s">
        <v>32</v>
      </c>
      <c r="H45" s="5">
        <v>1175</v>
      </c>
      <c r="I45" s="5">
        <v>0</v>
      </c>
      <c r="J45" s="5">
        <v>1175</v>
      </c>
      <c r="K45" s="5">
        <v>0</v>
      </c>
      <c r="L45" s="5">
        <v>0</v>
      </c>
      <c r="M45" s="5" t="s">
        <v>29</v>
      </c>
    </row>
    <row r="46" spans="1:13">
      <c r="A46" s="5" t="s">
        <v>95</v>
      </c>
      <c r="B46" s="5">
        <v>80</v>
      </c>
      <c r="C46" s="5" t="s">
        <v>34</v>
      </c>
      <c r="D46" s="5" t="s">
        <v>16</v>
      </c>
      <c r="E46" s="5" t="s">
        <v>17</v>
      </c>
      <c r="F46" s="5" t="s">
        <v>18</v>
      </c>
      <c r="G46" s="5" t="s">
        <v>57</v>
      </c>
      <c r="H46" s="5">
        <v>485</v>
      </c>
      <c r="I46" s="5">
        <v>0</v>
      </c>
      <c r="J46" s="5">
        <v>485</v>
      </c>
      <c r="K46" s="5" t="s">
        <v>20</v>
      </c>
      <c r="L46" s="5">
        <v>0</v>
      </c>
      <c r="M46" s="5" t="s">
        <v>21</v>
      </c>
    </row>
    <row r="47" spans="1:13">
      <c r="A47" s="5" t="s">
        <v>96</v>
      </c>
      <c r="B47" s="5">
        <v>76</v>
      </c>
      <c r="C47" s="5" t="s">
        <v>34</v>
      </c>
      <c r="D47" s="5" t="s">
        <v>16</v>
      </c>
      <c r="E47" s="5" t="s">
        <v>17</v>
      </c>
      <c r="F47" s="5" t="s">
        <v>89</v>
      </c>
      <c r="G47" s="5" t="s">
        <v>74</v>
      </c>
      <c r="H47" s="5">
        <v>284</v>
      </c>
      <c r="I47" s="5">
        <v>0</v>
      </c>
      <c r="J47" s="5">
        <v>284</v>
      </c>
      <c r="K47" s="5">
        <v>0</v>
      </c>
      <c r="L47" s="5">
        <v>0</v>
      </c>
      <c r="M47" s="5" t="s">
        <v>21</v>
      </c>
    </row>
    <row r="48" spans="1:13">
      <c r="A48" s="5" t="s">
        <v>97</v>
      </c>
      <c r="B48" s="5">
        <v>70</v>
      </c>
      <c r="C48" s="5" t="s">
        <v>15</v>
      </c>
      <c r="D48" s="5" t="s">
        <v>16</v>
      </c>
      <c r="E48" s="5" t="s">
        <v>17</v>
      </c>
      <c r="F48" s="5" t="s">
        <v>31</v>
      </c>
      <c r="G48" s="5" t="s">
        <v>32</v>
      </c>
      <c r="H48" s="5">
        <v>1129</v>
      </c>
      <c r="I48" s="5">
        <v>0</v>
      </c>
      <c r="J48" s="5">
        <v>1129</v>
      </c>
      <c r="K48" s="5">
        <v>0</v>
      </c>
      <c r="L48" s="5">
        <v>0</v>
      </c>
      <c r="M48" s="5" t="s">
        <v>26</v>
      </c>
    </row>
    <row r="49" spans="1:13">
      <c r="A49" s="5" t="s">
        <v>98</v>
      </c>
      <c r="B49" s="5">
        <v>76</v>
      </c>
      <c r="C49" s="5" t="s">
        <v>34</v>
      </c>
      <c r="D49" s="5" t="s">
        <v>16</v>
      </c>
      <c r="E49" s="5" t="s">
        <v>17</v>
      </c>
      <c r="F49" s="5" t="s">
        <v>55</v>
      </c>
      <c r="G49" s="5" t="s">
        <v>57</v>
      </c>
      <c r="H49" s="5">
        <v>1424</v>
      </c>
      <c r="I49" s="5">
        <v>0</v>
      </c>
      <c r="J49" s="5">
        <v>1424</v>
      </c>
      <c r="K49" s="5">
        <v>0</v>
      </c>
      <c r="L49" s="5">
        <v>0</v>
      </c>
      <c r="M49" s="5" t="s">
        <v>21</v>
      </c>
    </row>
    <row r="50" spans="1:14">
      <c r="A50" s="5" t="s">
        <v>99</v>
      </c>
      <c r="B50" s="5">
        <v>82</v>
      </c>
      <c r="C50" s="5" t="s">
        <v>34</v>
      </c>
      <c r="D50" s="5" t="s">
        <v>16</v>
      </c>
      <c r="E50" s="5" t="s">
        <v>17</v>
      </c>
      <c r="F50" s="5" t="s">
        <v>31</v>
      </c>
      <c r="G50" s="5" t="s">
        <v>32</v>
      </c>
      <c r="H50" s="5">
        <v>427</v>
      </c>
      <c r="I50" s="5">
        <v>0</v>
      </c>
      <c r="J50" s="5">
        <v>427</v>
      </c>
      <c r="K50" s="5" t="s">
        <v>63</v>
      </c>
      <c r="M50" s="5" t="s">
        <v>29</v>
      </c>
      <c r="N50" s="5" t="s">
        <v>22</v>
      </c>
    </row>
    <row r="51" spans="1:14">
      <c r="A51" s="5" t="s">
        <v>100</v>
      </c>
      <c r="B51" s="5">
        <v>66</v>
      </c>
      <c r="C51" s="5" t="s">
        <v>34</v>
      </c>
      <c r="D51" s="5" t="s">
        <v>16</v>
      </c>
      <c r="E51" s="5" t="s">
        <v>17</v>
      </c>
      <c r="F51" s="5" t="s">
        <v>31</v>
      </c>
      <c r="G51" s="5" t="s">
        <v>32</v>
      </c>
      <c r="H51" s="5">
        <v>391</v>
      </c>
      <c r="I51" s="5">
        <v>0</v>
      </c>
      <c r="J51" s="5">
        <v>391</v>
      </c>
      <c r="K51" s="5" t="s">
        <v>63</v>
      </c>
      <c r="M51" s="5" t="s">
        <v>29</v>
      </c>
      <c r="N51" s="5" t="s">
        <v>22</v>
      </c>
    </row>
    <row r="52" spans="1:13">
      <c r="A52" s="5" t="s">
        <v>101</v>
      </c>
      <c r="B52" s="5">
        <v>52</v>
      </c>
      <c r="C52" s="5" t="s">
        <v>34</v>
      </c>
      <c r="D52" s="5" t="s">
        <v>16</v>
      </c>
      <c r="E52" s="5" t="s">
        <v>17</v>
      </c>
      <c r="F52" s="5" t="s">
        <v>55</v>
      </c>
      <c r="G52" s="5" t="s">
        <v>32</v>
      </c>
      <c r="H52" s="5">
        <v>591</v>
      </c>
      <c r="I52" s="5">
        <v>0</v>
      </c>
      <c r="J52" s="5">
        <v>591</v>
      </c>
      <c r="K52" s="5" t="s">
        <v>20</v>
      </c>
      <c r="L52" s="5">
        <v>0</v>
      </c>
      <c r="M52" s="5" t="s">
        <v>26</v>
      </c>
    </row>
    <row r="53" spans="1:13">
      <c r="A53" s="5" t="s">
        <v>102</v>
      </c>
      <c r="B53" s="5">
        <v>71</v>
      </c>
      <c r="C53" s="5" t="s">
        <v>15</v>
      </c>
      <c r="D53" s="5" t="s">
        <v>16</v>
      </c>
      <c r="E53" s="5" t="s">
        <v>17</v>
      </c>
      <c r="F53" s="5" t="s">
        <v>55</v>
      </c>
      <c r="G53" s="5" t="s">
        <v>32</v>
      </c>
      <c r="H53" s="5">
        <v>1235</v>
      </c>
      <c r="I53" s="5">
        <v>0</v>
      </c>
      <c r="J53" s="5">
        <v>1235</v>
      </c>
      <c r="K53" s="5">
        <v>0</v>
      </c>
      <c r="L53" s="5">
        <v>0</v>
      </c>
      <c r="M53" s="5" t="s">
        <v>21</v>
      </c>
    </row>
    <row r="54" spans="1:14">
      <c r="A54" s="5" t="s">
        <v>103</v>
      </c>
      <c r="B54" s="5">
        <v>59</v>
      </c>
      <c r="C54" s="5" t="s">
        <v>15</v>
      </c>
      <c r="D54" s="5" t="s">
        <v>104</v>
      </c>
      <c r="E54" s="5" t="s">
        <v>105</v>
      </c>
      <c r="F54" s="5" t="s">
        <v>51</v>
      </c>
      <c r="G54" s="5" t="s">
        <v>52</v>
      </c>
      <c r="I54" s="5">
        <v>583</v>
      </c>
      <c r="J54" s="5">
        <v>583</v>
      </c>
      <c r="K54" s="5">
        <v>0</v>
      </c>
      <c r="M54" s="5" t="s">
        <v>21</v>
      </c>
      <c r="N54" s="5" t="s">
        <v>29</v>
      </c>
    </row>
    <row r="55" spans="1:14">
      <c r="A55" s="5" t="s">
        <v>106</v>
      </c>
      <c r="B55" s="5">
        <v>35</v>
      </c>
      <c r="C55" s="5" t="s">
        <v>34</v>
      </c>
      <c r="D55" s="5" t="s">
        <v>16</v>
      </c>
      <c r="E55" s="5" t="s">
        <v>105</v>
      </c>
      <c r="F55" s="5" t="s">
        <v>51</v>
      </c>
      <c r="G55" s="5" t="s">
        <v>52</v>
      </c>
      <c r="I55" s="5">
        <v>2007</v>
      </c>
      <c r="J55" s="5">
        <v>2007</v>
      </c>
      <c r="K55" s="5">
        <v>0</v>
      </c>
      <c r="M55" s="5" t="s">
        <v>21</v>
      </c>
      <c r="N55" s="5" t="s">
        <v>29</v>
      </c>
    </row>
    <row r="56" spans="1:13">
      <c r="A56" s="5" t="s">
        <v>107</v>
      </c>
      <c r="B56" s="5">
        <v>66</v>
      </c>
      <c r="C56" s="5" t="s">
        <v>34</v>
      </c>
      <c r="D56" s="5" t="s">
        <v>16</v>
      </c>
      <c r="E56" s="5" t="s">
        <v>105</v>
      </c>
      <c r="F56" s="5" t="s">
        <v>31</v>
      </c>
      <c r="G56" s="5" t="s">
        <v>32</v>
      </c>
      <c r="I56" s="5">
        <v>1372</v>
      </c>
      <c r="J56" s="5">
        <v>1372</v>
      </c>
      <c r="K56" s="5" t="s">
        <v>63</v>
      </c>
      <c r="M56" s="5" t="s">
        <v>26</v>
      </c>
    </row>
    <row r="57" spans="1:14">
      <c r="A57" s="5" t="s">
        <v>108</v>
      </c>
      <c r="B57" s="5">
        <v>63</v>
      </c>
      <c r="C57" s="5" t="s">
        <v>15</v>
      </c>
      <c r="D57" s="5" t="s">
        <v>16</v>
      </c>
      <c r="E57" s="5" t="s">
        <v>105</v>
      </c>
      <c r="F57" s="5" t="s">
        <v>18</v>
      </c>
      <c r="G57" s="5" t="s">
        <v>32</v>
      </c>
      <c r="I57" s="5">
        <v>1605</v>
      </c>
      <c r="J57" s="5">
        <v>1605</v>
      </c>
      <c r="K57" s="5">
        <v>0</v>
      </c>
      <c r="M57" s="5" t="s">
        <v>29</v>
      </c>
      <c r="N57" s="5" t="s">
        <v>29</v>
      </c>
    </row>
    <row r="58" spans="1:14">
      <c r="A58" s="5" t="s">
        <v>109</v>
      </c>
      <c r="B58" s="5">
        <v>75</v>
      </c>
      <c r="C58" s="5" t="s">
        <v>34</v>
      </c>
      <c r="D58" s="5" t="s">
        <v>16</v>
      </c>
      <c r="E58" s="5" t="s">
        <v>105</v>
      </c>
      <c r="F58" s="5" t="s">
        <v>55</v>
      </c>
      <c r="G58" s="5" t="s">
        <v>110</v>
      </c>
      <c r="I58" s="5">
        <v>398</v>
      </c>
      <c r="J58" s="5">
        <v>398</v>
      </c>
      <c r="K58" s="5" t="s">
        <v>63</v>
      </c>
      <c r="L58" s="5" t="s">
        <v>111</v>
      </c>
      <c r="M58" s="5" t="s">
        <v>21</v>
      </c>
      <c r="N58" s="5" t="s">
        <v>111</v>
      </c>
    </row>
    <row r="59" spans="1:14">
      <c r="A59" s="5" t="s">
        <v>112</v>
      </c>
      <c r="B59" s="5">
        <v>85</v>
      </c>
      <c r="C59" s="5" t="s">
        <v>34</v>
      </c>
      <c r="D59" s="5" t="s">
        <v>16</v>
      </c>
      <c r="E59" s="5" t="s">
        <v>105</v>
      </c>
      <c r="F59" s="5" t="s">
        <v>89</v>
      </c>
      <c r="G59" s="5" t="s">
        <v>52</v>
      </c>
      <c r="I59" s="5">
        <v>428</v>
      </c>
      <c r="J59" s="5">
        <v>428</v>
      </c>
      <c r="K59" s="5" t="s">
        <v>20</v>
      </c>
      <c r="L59" s="5">
        <v>0</v>
      </c>
      <c r="M59" s="5" t="s">
        <v>21</v>
      </c>
      <c r="N59" s="5" t="s">
        <v>29</v>
      </c>
    </row>
    <row r="60" spans="1:13">
      <c r="A60" s="5" t="s">
        <v>113</v>
      </c>
      <c r="B60" s="5">
        <v>82</v>
      </c>
      <c r="C60" s="5" t="s">
        <v>15</v>
      </c>
      <c r="D60" s="5" t="s">
        <v>16</v>
      </c>
      <c r="E60" s="5" t="s">
        <v>105</v>
      </c>
      <c r="F60" s="5" t="s">
        <v>31</v>
      </c>
      <c r="G60" s="5" t="s">
        <v>32</v>
      </c>
      <c r="I60" s="5">
        <v>972</v>
      </c>
      <c r="J60" s="5">
        <v>972</v>
      </c>
      <c r="K60" s="5" t="s">
        <v>63</v>
      </c>
      <c r="M60" s="5" t="s">
        <v>26</v>
      </c>
    </row>
    <row r="61" spans="1:14">
      <c r="A61" s="5" t="s">
        <v>114</v>
      </c>
      <c r="B61" s="5">
        <v>27</v>
      </c>
      <c r="C61" s="5" t="s">
        <v>34</v>
      </c>
      <c r="D61" s="5" t="s">
        <v>16</v>
      </c>
      <c r="E61" s="5" t="s">
        <v>105</v>
      </c>
      <c r="F61" s="5" t="s">
        <v>24</v>
      </c>
      <c r="G61" s="5" t="s">
        <v>52</v>
      </c>
      <c r="I61" s="5">
        <v>2169</v>
      </c>
      <c r="J61" s="5">
        <v>2169</v>
      </c>
      <c r="K61" s="5" t="s">
        <v>20</v>
      </c>
      <c r="M61" s="5" t="s">
        <v>21</v>
      </c>
      <c r="N61" s="5" t="s">
        <v>22</v>
      </c>
    </row>
    <row r="62" spans="1:13">
      <c r="A62" s="5" t="s">
        <v>115</v>
      </c>
      <c r="B62" s="5">
        <v>56</v>
      </c>
      <c r="C62" s="5" t="s">
        <v>34</v>
      </c>
      <c r="D62" s="5" t="s">
        <v>16</v>
      </c>
      <c r="E62" s="5" t="s">
        <v>105</v>
      </c>
      <c r="F62" s="5" t="s">
        <v>18</v>
      </c>
      <c r="G62" s="5" t="s">
        <v>32</v>
      </c>
      <c r="I62" s="5">
        <v>1534</v>
      </c>
      <c r="J62" s="5">
        <v>1534</v>
      </c>
      <c r="K62" s="5" t="s">
        <v>116</v>
      </c>
      <c r="M62" s="5" t="s">
        <v>26</v>
      </c>
    </row>
    <row r="63" spans="1:14">
      <c r="A63" s="5" t="s">
        <v>117</v>
      </c>
      <c r="B63" s="5">
        <v>90</v>
      </c>
      <c r="C63" s="5" t="s">
        <v>15</v>
      </c>
      <c r="D63" s="5" t="s">
        <v>104</v>
      </c>
      <c r="E63" s="5" t="s">
        <v>105</v>
      </c>
      <c r="F63" s="5" t="s">
        <v>118</v>
      </c>
      <c r="G63" s="5" t="s">
        <v>52</v>
      </c>
      <c r="I63" s="5">
        <v>0</v>
      </c>
      <c r="J63" s="5">
        <v>0</v>
      </c>
      <c r="K63" s="5">
        <v>0</v>
      </c>
      <c r="M63" s="5" t="s">
        <v>21</v>
      </c>
      <c r="N63" s="5" t="s">
        <v>29</v>
      </c>
    </row>
    <row r="64" spans="1:14">
      <c r="A64" s="5" t="s">
        <v>119</v>
      </c>
      <c r="B64" s="5">
        <v>60</v>
      </c>
      <c r="C64" s="5" t="s">
        <v>15</v>
      </c>
      <c r="D64" s="5" t="s">
        <v>76</v>
      </c>
      <c r="E64" s="5" t="s">
        <v>105</v>
      </c>
      <c r="F64" s="5" t="s">
        <v>18</v>
      </c>
      <c r="G64" s="5" t="s">
        <v>19</v>
      </c>
      <c r="I64" s="5">
        <v>499</v>
      </c>
      <c r="J64" s="5">
        <v>499</v>
      </c>
      <c r="K64" s="5">
        <v>0</v>
      </c>
      <c r="M64" s="5" t="s">
        <v>21</v>
      </c>
      <c r="N64" s="5" t="s">
        <v>29</v>
      </c>
    </row>
    <row r="65" spans="1:14">
      <c r="A65" s="5" t="s">
        <v>120</v>
      </c>
      <c r="B65" s="5">
        <v>48</v>
      </c>
      <c r="C65" s="5" t="s">
        <v>34</v>
      </c>
      <c r="D65" s="5" t="s">
        <v>16</v>
      </c>
      <c r="E65" s="5" t="s">
        <v>105</v>
      </c>
      <c r="F65" s="5" t="s">
        <v>18</v>
      </c>
      <c r="G65" s="5" t="s">
        <v>52</v>
      </c>
      <c r="I65" s="5">
        <v>528</v>
      </c>
      <c r="J65" s="5">
        <v>528</v>
      </c>
      <c r="K65" s="5" t="s">
        <v>20</v>
      </c>
      <c r="M65" s="5" t="s">
        <v>29</v>
      </c>
      <c r="N65" s="5" t="s">
        <v>22</v>
      </c>
    </row>
    <row r="66" spans="1:14">
      <c r="A66" s="5" t="s">
        <v>121</v>
      </c>
      <c r="B66" s="5">
        <v>64</v>
      </c>
      <c r="C66" s="5" t="s">
        <v>15</v>
      </c>
      <c r="D66" s="5" t="s">
        <v>16</v>
      </c>
      <c r="E66" s="5" t="s">
        <v>105</v>
      </c>
      <c r="F66" s="5" t="s">
        <v>55</v>
      </c>
      <c r="G66" s="5" t="s">
        <v>32</v>
      </c>
      <c r="I66" s="5">
        <v>486</v>
      </c>
      <c r="J66" s="5">
        <v>486</v>
      </c>
      <c r="K66" s="5">
        <v>0</v>
      </c>
      <c r="M66" s="5" t="s">
        <v>29</v>
      </c>
      <c r="N66" s="5" t="s">
        <v>29</v>
      </c>
    </row>
    <row r="67" spans="1:14">
      <c r="A67" s="5" t="s">
        <v>122</v>
      </c>
      <c r="B67" s="5">
        <v>35</v>
      </c>
      <c r="C67" s="5" t="s">
        <v>15</v>
      </c>
      <c r="D67" s="5" t="s">
        <v>16</v>
      </c>
      <c r="E67" s="5" t="s">
        <v>105</v>
      </c>
      <c r="F67" s="5" t="s">
        <v>123</v>
      </c>
      <c r="G67" s="5" t="s">
        <v>124</v>
      </c>
      <c r="I67" s="5">
        <v>485</v>
      </c>
      <c r="J67" s="5">
        <v>485</v>
      </c>
      <c r="K67" s="5">
        <v>0</v>
      </c>
      <c r="M67" s="5" t="s">
        <v>29</v>
      </c>
      <c r="N67" s="5" t="s">
        <v>29</v>
      </c>
    </row>
    <row r="68" spans="1:14">
      <c r="A68" s="5" t="s">
        <v>125</v>
      </c>
      <c r="B68" s="5">
        <v>52</v>
      </c>
      <c r="C68" s="5" t="s">
        <v>34</v>
      </c>
      <c r="D68" s="5" t="s">
        <v>16</v>
      </c>
      <c r="E68" s="5" t="s">
        <v>105</v>
      </c>
      <c r="F68" s="5" t="s">
        <v>31</v>
      </c>
      <c r="G68" s="5" t="s">
        <v>32</v>
      </c>
      <c r="I68" s="5">
        <v>969</v>
      </c>
      <c r="J68" s="5">
        <v>969</v>
      </c>
      <c r="K68" s="5">
        <v>0</v>
      </c>
      <c r="M68" s="5" t="s">
        <v>29</v>
      </c>
      <c r="N68" s="5" t="s">
        <v>29</v>
      </c>
    </row>
    <row r="69" spans="1:14">
      <c r="A69" s="5" t="s">
        <v>126</v>
      </c>
      <c r="B69" s="5">
        <v>68</v>
      </c>
      <c r="C69" s="5" t="s">
        <v>34</v>
      </c>
      <c r="D69" s="5" t="s">
        <v>16</v>
      </c>
      <c r="E69" s="5" t="s">
        <v>105</v>
      </c>
      <c r="F69" s="5" t="s">
        <v>55</v>
      </c>
      <c r="G69" s="5" t="s">
        <v>83</v>
      </c>
      <c r="I69" s="5">
        <v>637</v>
      </c>
      <c r="J69" s="5">
        <v>637</v>
      </c>
      <c r="K69" s="5">
        <v>0</v>
      </c>
      <c r="M69" s="5" t="s">
        <v>21</v>
      </c>
      <c r="N69" s="5" t="s">
        <v>29</v>
      </c>
    </row>
    <row r="70" spans="1:14">
      <c r="A70" s="5" t="s">
        <v>127</v>
      </c>
      <c r="B70" s="5">
        <v>80</v>
      </c>
      <c r="C70" s="5" t="s">
        <v>15</v>
      </c>
      <c r="D70" s="5" t="s">
        <v>16</v>
      </c>
      <c r="E70" s="5" t="s">
        <v>105</v>
      </c>
      <c r="F70" s="5" t="s">
        <v>31</v>
      </c>
      <c r="G70" s="5" t="s">
        <v>32</v>
      </c>
      <c r="I70" s="5">
        <v>482</v>
      </c>
      <c r="J70" s="5">
        <v>482</v>
      </c>
      <c r="K70" s="5">
        <v>0</v>
      </c>
      <c r="M70" s="5" t="s">
        <v>21</v>
      </c>
      <c r="N70" s="5" t="s">
        <v>29</v>
      </c>
    </row>
    <row r="71" spans="1:14">
      <c r="A71" s="5" t="s">
        <v>128</v>
      </c>
      <c r="B71" s="5">
        <v>47</v>
      </c>
      <c r="C71" s="5" t="s">
        <v>34</v>
      </c>
      <c r="D71" s="5" t="s">
        <v>16</v>
      </c>
      <c r="E71" s="5" t="s">
        <v>105</v>
      </c>
      <c r="F71" s="5" t="s">
        <v>55</v>
      </c>
      <c r="G71" s="5" t="s">
        <v>52</v>
      </c>
      <c r="I71" s="5">
        <v>576</v>
      </c>
      <c r="J71" s="5">
        <v>576</v>
      </c>
      <c r="K71" s="5" t="s">
        <v>20</v>
      </c>
      <c r="M71" s="5" t="s">
        <v>21</v>
      </c>
      <c r="N71" s="5" t="s">
        <v>22</v>
      </c>
    </row>
    <row r="72" spans="1:14">
      <c r="A72" s="5" t="s">
        <v>129</v>
      </c>
      <c r="B72" s="5">
        <v>37</v>
      </c>
      <c r="C72" s="5" t="s">
        <v>15</v>
      </c>
      <c r="D72" s="5" t="s">
        <v>16</v>
      </c>
      <c r="E72" s="5" t="s">
        <v>105</v>
      </c>
      <c r="F72" s="5" t="s">
        <v>18</v>
      </c>
      <c r="G72" s="5" t="s">
        <v>32</v>
      </c>
      <c r="I72" s="5">
        <v>2085</v>
      </c>
      <c r="J72" s="5">
        <v>2085</v>
      </c>
      <c r="K72" s="5" t="s">
        <v>116</v>
      </c>
      <c r="M72" s="5" t="s">
        <v>29</v>
      </c>
      <c r="N72" s="5" t="s">
        <v>22</v>
      </c>
    </row>
    <row r="73" spans="1:14">
      <c r="A73" s="5" t="s">
        <v>130</v>
      </c>
      <c r="B73" s="5">
        <v>87</v>
      </c>
      <c r="C73" s="5" t="s">
        <v>34</v>
      </c>
      <c r="D73" s="5" t="s">
        <v>16</v>
      </c>
      <c r="E73" s="5" t="s">
        <v>105</v>
      </c>
      <c r="F73" s="5" t="s">
        <v>131</v>
      </c>
      <c r="G73" s="5" t="s">
        <v>32</v>
      </c>
      <c r="I73" s="5">
        <v>618</v>
      </c>
      <c r="J73" s="5">
        <v>618</v>
      </c>
      <c r="K73" s="5">
        <v>0</v>
      </c>
      <c r="M73" s="5" t="s">
        <v>29</v>
      </c>
      <c r="N73" s="5" t="s">
        <v>29</v>
      </c>
    </row>
    <row r="74" spans="1:14">
      <c r="A74" s="5" t="s">
        <v>132</v>
      </c>
      <c r="B74" s="5">
        <v>31</v>
      </c>
      <c r="C74" s="5" t="s">
        <v>15</v>
      </c>
      <c r="D74" s="5" t="s">
        <v>16</v>
      </c>
      <c r="E74" s="5" t="s">
        <v>105</v>
      </c>
      <c r="F74" s="5" t="s">
        <v>51</v>
      </c>
      <c r="G74" s="5" t="s">
        <v>52</v>
      </c>
      <c r="I74" s="5">
        <v>2044</v>
      </c>
      <c r="J74" s="5">
        <v>2044</v>
      </c>
      <c r="K74" s="5">
        <v>0</v>
      </c>
      <c r="M74" s="5" t="s">
        <v>21</v>
      </c>
      <c r="N74" s="5" t="s">
        <v>29</v>
      </c>
    </row>
    <row r="75" spans="1:14">
      <c r="A75" s="5" t="s">
        <v>133</v>
      </c>
      <c r="B75" s="5">
        <v>90</v>
      </c>
      <c r="C75" s="5" t="s">
        <v>15</v>
      </c>
      <c r="D75" s="5" t="s">
        <v>16</v>
      </c>
      <c r="E75" s="5" t="s">
        <v>105</v>
      </c>
      <c r="F75" s="5" t="s">
        <v>18</v>
      </c>
      <c r="G75" s="5" t="s">
        <v>74</v>
      </c>
      <c r="I75" s="5">
        <v>0</v>
      </c>
      <c r="J75" s="5">
        <v>0</v>
      </c>
      <c r="K75" s="5">
        <v>0</v>
      </c>
      <c r="M75" s="5" t="s">
        <v>21</v>
      </c>
      <c r="N75" s="5" t="s">
        <v>29</v>
      </c>
    </row>
    <row r="76" spans="1:14">
      <c r="A76" s="5" t="s">
        <v>134</v>
      </c>
      <c r="B76" s="5">
        <v>58</v>
      </c>
      <c r="C76" s="5" t="s">
        <v>15</v>
      </c>
      <c r="D76" s="5" t="s">
        <v>66</v>
      </c>
      <c r="E76" s="5" t="s">
        <v>105</v>
      </c>
      <c r="F76" s="5" t="s">
        <v>18</v>
      </c>
      <c r="G76" s="5" t="s">
        <v>19</v>
      </c>
      <c r="I76" s="5">
        <v>1585</v>
      </c>
      <c r="J76" s="5">
        <v>1585</v>
      </c>
      <c r="K76" s="5">
        <v>0</v>
      </c>
      <c r="M76" s="5" t="s">
        <v>21</v>
      </c>
      <c r="N76" s="5" t="s">
        <v>29</v>
      </c>
    </row>
    <row r="77" spans="1:14">
      <c r="A77" s="5" t="s">
        <v>135</v>
      </c>
      <c r="B77" s="5">
        <v>53</v>
      </c>
      <c r="C77" s="5" t="s">
        <v>15</v>
      </c>
      <c r="D77" s="5" t="s">
        <v>16</v>
      </c>
      <c r="E77" s="5" t="s">
        <v>105</v>
      </c>
      <c r="F77" s="5" t="s">
        <v>51</v>
      </c>
      <c r="G77" s="5" t="s">
        <v>83</v>
      </c>
      <c r="I77" s="5">
        <v>280</v>
      </c>
      <c r="J77" s="5">
        <v>280</v>
      </c>
      <c r="K77" s="5">
        <v>0</v>
      </c>
      <c r="M77" s="5" t="s">
        <v>21</v>
      </c>
      <c r="N77" s="5" t="s">
        <v>29</v>
      </c>
    </row>
    <row r="78" spans="1:14">
      <c r="A78" s="5" t="s">
        <v>136</v>
      </c>
      <c r="B78" s="5">
        <v>59</v>
      </c>
      <c r="C78" s="5" t="s">
        <v>15</v>
      </c>
      <c r="D78" s="5" t="s">
        <v>16</v>
      </c>
      <c r="E78" s="5" t="s">
        <v>17</v>
      </c>
      <c r="F78" s="5" t="s">
        <v>18</v>
      </c>
      <c r="G78" s="5" t="s">
        <v>46</v>
      </c>
      <c r="H78" s="5">
        <v>261</v>
      </c>
      <c r="I78" s="5">
        <v>0</v>
      </c>
      <c r="J78" s="5">
        <v>261</v>
      </c>
      <c r="K78" s="5" t="s">
        <v>137</v>
      </c>
      <c r="M78" s="5" t="s">
        <v>29</v>
      </c>
      <c r="N78" s="5" t="s">
        <v>22</v>
      </c>
    </row>
    <row r="79" spans="1:14">
      <c r="A79" s="5" t="s">
        <v>138</v>
      </c>
      <c r="B79" s="5">
        <v>67</v>
      </c>
      <c r="C79" s="5" t="s">
        <v>34</v>
      </c>
      <c r="D79" s="5" t="s">
        <v>16</v>
      </c>
      <c r="E79" s="5" t="s">
        <v>105</v>
      </c>
      <c r="F79" s="5" t="s">
        <v>18</v>
      </c>
      <c r="G79" s="5" t="s">
        <v>52</v>
      </c>
      <c r="I79" s="5">
        <v>158</v>
      </c>
      <c r="J79" s="5">
        <v>158</v>
      </c>
      <c r="K79" s="5">
        <v>0</v>
      </c>
      <c r="M79" s="5" t="s">
        <v>29</v>
      </c>
      <c r="N79" s="5" t="s">
        <v>29</v>
      </c>
    </row>
    <row r="80" spans="1:13">
      <c r="A80" s="5" t="s">
        <v>139</v>
      </c>
      <c r="B80" s="5">
        <v>79</v>
      </c>
      <c r="C80" s="5" t="s">
        <v>34</v>
      </c>
      <c r="D80" s="5" t="s">
        <v>16</v>
      </c>
      <c r="E80" s="5" t="s">
        <v>105</v>
      </c>
      <c r="F80" s="5" t="s">
        <v>31</v>
      </c>
      <c r="G80" s="5" t="s">
        <v>32</v>
      </c>
      <c r="I80" s="5">
        <v>1359</v>
      </c>
      <c r="J80" s="5">
        <v>1359</v>
      </c>
      <c r="K80" s="5" t="s">
        <v>63</v>
      </c>
      <c r="M80" s="5" t="s">
        <v>26</v>
      </c>
    </row>
    <row r="81" spans="1:14">
      <c r="A81" s="5" t="s">
        <v>140</v>
      </c>
      <c r="B81" s="5">
        <v>54</v>
      </c>
      <c r="C81" s="5" t="s">
        <v>34</v>
      </c>
      <c r="D81" s="5" t="s">
        <v>16</v>
      </c>
      <c r="E81" s="5" t="s">
        <v>105</v>
      </c>
      <c r="F81" s="5" t="s">
        <v>18</v>
      </c>
      <c r="G81" s="5" t="s">
        <v>32</v>
      </c>
      <c r="I81" s="5">
        <v>947</v>
      </c>
      <c r="J81" s="5">
        <v>947</v>
      </c>
      <c r="K81" s="5">
        <v>0</v>
      </c>
      <c r="M81" s="5" t="s">
        <v>29</v>
      </c>
      <c r="N81" s="5" t="s">
        <v>29</v>
      </c>
    </row>
    <row r="82" spans="1:13">
      <c r="A82" s="5" t="s">
        <v>141</v>
      </c>
      <c r="B82" s="5">
        <v>68</v>
      </c>
      <c r="C82" s="5" t="s">
        <v>34</v>
      </c>
      <c r="D82" s="5" t="s">
        <v>16</v>
      </c>
      <c r="E82" s="5" t="s">
        <v>105</v>
      </c>
      <c r="F82" s="5" t="s">
        <v>31</v>
      </c>
      <c r="G82" s="5" t="s">
        <v>67</v>
      </c>
      <c r="I82" s="5">
        <v>1104</v>
      </c>
      <c r="J82" s="5">
        <v>1104</v>
      </c>
      <c r="K82" s="5">
        <v>0</v>
      </c>
      <c r="M82" s="5" t="s">
        <v>21</v>
      </c>
    </row>
    <row r="83" spans="1:14">
      <c r="A83" s="5" t="s">
        <v>142</v>
      </c>
      <c r="B83" s="5">
        <v>75</v>
      </c>
      <c r="C83" s="5" t="s">
        <v>15</v>
      </c>
      <c r="D83" s="5" t="s">
        <v>16</v>
      </c>
      <c r="E83" s="5" t="s">
        <v>105</v>
      </c>
      <c r="F83" s="5" t="s">
        <v>51</v>
      </c>
      <c r="G83" s="5" t="s">
        <v>52</v>
      </c>
      <c r="I83" s="5">
        <v>922</v>
      </c>
      <c r="J83" s="5">
        <v>922</v>
      </c>
      <c r="K83" s="5" t="s">
        <v>20</v>
      </c>
      <c r="M83" s="5" t="s">
        <v>21</v>
      </c>
      <c r="N83" s="5" t="s">
        <v>22</v>
      </c>
    </row>
    <row r="84" spans="1:14">
      <c r="A84" s="5" t="s">
        <v>143</v>
      </c>
      <c r="B84" s="5">
        <v>77</v>
      </c>
      <c r="C84" s="5" t="s">
        <v>34</v>
      </c>
      <c r="D84" s="5" t="s">
        <v>16</v>
      </c>
      <c r="E84" s="5" t="s">
        <v>105</v>
      </c>
      <c r="F84" s="5" t="s">
        <v>31</v>
      </c>
      <c r="G84" s="5" t="s">
        <v>32</v>
      </c>
      <c r="I84" s="5">
        <v>881</v>
      </c>
      <c r="J84" s="5">
        <v>881</v>
      </c>
      <c r="K84" s="5">
        <v>0</v>
      </c>
      <c r="M84" s="5" t="s">
        <v>21</v>
      </c>
      <c r="N84" s="5" t="s">
        <v>29</v>
      </c>
    </row>
    <row r="85" spans="1:14">
      <c r="A85" s="5" t="s">
        <v>144</v>
      </c>
      <c r="B85" s="5">
        <v>82</v>
      </c>
      <c r="C85" s="5" t="s">
        <v>15</v>
      </c>
      <c r="D85" s="5" t="s">
        <v>16</v>
      </c>
      <c r="E85" s="5" t="s">
        <v>105</v>
      </c>
      <c r="F85" s="5" t="s">
        <v>18</v>
      </c>
      <c r="G85" s="5" t="s">
        <v>52</v>
      </c>
      <c r="I85" s="5">
        <v>1590</v>
      </c>
      <c r="J85" s="5">
        <v>1590</v>
      </c>
      <c r="K85" s="5">
        <v>0</v>
      </c>
      <c r="M85" s="5" t="s">
        <v>21</v>
      </c>
      <c r="N85" s="5" t="s">
        <v>29</v>
      </c>
    </row>
    <row r="86" spans="1:13">
      <c r="A86" s="5" t="s">
        <v>145</v>
      </c>
      <c r="B86" s="5">
        <v>67</v>
      </c>
      <c r="C86" s="5" t="s">
        <v>15</v>
      </c>
      <c r="D86" s="5" t="s">
        <v>16</v>
      </c>
      <c r="E86" s="5" t="s">
        <v>105</v>
      </c>
      <c r="F86" s="5" t="s">
        <v>55</v>
      </c>
      <c r="G86" s="5" t="s">
        <v>52</v>
      </c>
      <c r="I86" s="5">
        <v>1240</v>
      </c>
      <c r="J86" s="5">
        <v>1240</v>
      </c>
      <c r="K86" s="5" t="s">
        <v>63</v>
      </c>
      <c r="M86" s="5" t="s">
        <v>26</v>
      </c>
    </row>
    <row r="87" spans="1:14">
      <c r="A87" s="5" t="s">
        <v>146</v>
      </c>
      <c r="B87" s="5">
        <v>81</v>
      </c>
      <c r="C87" s="5" t="s">
        <v>34</v>
      </c>
      <c r="D87" s="5" t="s">
        <v>16</v>
      </c>
      <c r="E87" s="5" t="s">
        <v>105</v>
      </c>
      <c r="F87" s="5" t="s">
        <v>51</v>
      </c>
      <c r="G87" s="5" t="s">
        <v>83</v>
      </c>
      <c r="I87" s="5">
        <v>3156</v>
      </c>
      <c r="J87" s="5">
        <v>3156</v>
      </c>
      <c r="K87" s="5">
        <v>0</v>
      </c>
      <c r="M87" s="5" t="s">
        <v>21</v>
      </c>
      <c r="N87" s="5" t="s">
        <v>29</v>
      </c>
    </row>
    <row r="88" spans="1:14">
      <c r="A88" s="5" t="s">
        <v>147</v>
      </c>
      <c r="B88" s="5">
        <v>51</v>
      </c>
      <c r="C88" s="5" t="s">
        <v>34</v>
      </c>
      <c r="D88" s="5" t="s">
        <v>16</v>
      </c>
      <c r="E88" s="5" t="s">
        <v>105</v>
      </c>
      <c r="F88" s="5" t="s">
        <v>51</v>
      </c>
      <c r="G88" s="5" t="s">
        <v>74</v>
      </c>
      <c r="I88" s="5">
        <v>3102</v>
      </c>
      <c r="J88" s="5">
        <v>3102</v>
      </c>
      <c r="K88" s="5">
        <v>0</v>
      </c>
      <c r="M88" s="5" t="s">
        <v>21</v>
      </c>
      <c r="N88" s="5" t="s">
        <v>29</v>
      </c>
    </row>
    <row r="89" spans="1:13">
      <c r="A89" s="5" t="s">
        <v>148</v>
      </c>
      <c r="B89" s="5">
        <v>68</v>
      </c>
      <c r="C89" s="5" t="s">
        <v>34</v>
      </c>
      <c r="D89" s="5" t="s">
        <v>16</v>
      </c>
      <c r="E89" s="5" t="s">
        <v>105</v>
      </c>
      <c r="F89" s="5" t="s">
        <v>31</v>
      </c>
      <c r="G89" s="5" t="s">
        <v>124</v>
      </c>
      <c r="I89" s="5">
        <v>1521</v>
      </c>
      <c r="J89" s="5">
        <v>1521</v>
      </c>
      <c r="K89" s="5" t="s">
        <v>20</v>
      </c>
      <c r="M89" s="5" t="s">
        <v>26</v>
      </c>
    </row>
    <row r="90" spans="1:14">
      <c r="A90" s="5" t="s">
        <v>149</v>
      </c>
      <c r="B90" s="5">
        <v>53</v>
      </c>
      <c r="C90" s="5" t="s">
        <v>34</v>
      </c>
      <c r="D90" s="5" t="s">
        <v>16</v>
      </c>
      <c r="E90" s="5" t="s">
        <v>105</v>
      </c>
      <c r="F90" s="5" t="s">
        <v>18</v>
      </c>
      <c r="G90" s="5" t="s">
        <v>150</v>
      </c>
      <c r="I90" s="5">
        <v>1665</v>
      </c>
      <c r="J90" s="5">
        <v>1665</v>
      </c>
      <c r="K90" s="5" t="s">
        <v>49</v>
      </c>
      <c r="L90" s="5" t="s">
        <v>111</v>
      </c>
      <c r="M90" s="5" t="s">
        <v>21</v>
      </c>
      <c r="N90" s="5" t="s">
        <v>111</v>
      </c>
    </row>
    <row r="91" spans="1:14">
      <c r="A91" s="5" t="s">
        <v>151</v>
      </c>
      <c r="B91" s="5">
        <v>63</v>
      </c>
      <c r="C91" s="5" t="s">
        <v>15</v>
      </c>
      <c r="D91" s="5" t="s">
        <v>16</v>
      </c>
      <c r="E91" s="5" t="s">
        <v>105</v>
      </c>
      <c r="F91" s="5" t="s">
        <v>18</v>
      </c>
      <c r="G91" s="5" t="s">
        <v>52</v>
      </c>
      <c r="I91" s="5">
        <v>938</v>
      </c>
      <c r="J91" s="5">
        <v>938</v>
      </c>
      <c r="K91" s="5" t="s">
        <v>20</v>
      </c>
      <c r="M91" s="5" t="s">
        <v>21</v>
      </c>
      <c r="N91" s="5" t="s">
        <v>22</v>
      </c>
    </row>
    <row r="92" spans="1:14">
      <c r="A92" s="5" t="s">
        <v>152</v>
      </c>
      <c r="B92" s="5">
        <v>28</v>
      </c>
      <c r="C92" s="5" t="s">
        <v>15</v>
      </c>
      <c r="D92" s="5" t="s">
        <v>16</v>
      </c>
      <c r="E92" s="5" t="s">
        <v>105</v>
      </c>
      <c r="F92" s="5" t="s">
        <v>24</v>
      </c>
      <c r="G92" s="5" t="s">
        <v>52</v>
      </c>
      <c r="I92" s="5">
        <v>1548</v>
      </c>
      <c r="J92" s="5">
        <v>1548</v>
      </c>
      <c r="K92" s="5">
        <v>0</v>
      </c>
      <c r="M92" s="5" t="s">
        <v>21</v>
      </c>
      <c r="N92" s="5" t="s">
        <v>29</v>
      </c>
    </row>
    <row r="93" spans="1:14">
      <c r="A93" s="5" t="s">
        <v>153</v>
      </c>
      <c r="B93" s="5">
        <v>50</v>
      </c>
      <c r="C93" s="5" t="s">
        <v>15</v>
      </c>
      <c r="D93" s="5" t="s">
        <v>16</v>
      </c>
      <c r="E93" s="5" t="s">
        <v>105</v>
      </c>
      <c r="F93" s="5" t="s">
        <v>31</v>
      </c>
      <c r="G93" s="5" t="s">
        <v>32</v>
      </c>
      <c r="I93" s="5">
        <v>610</v>
      </c>
      <c r="J93" s="5">
        <v>610</v>
      </c>
      <c r="K93" s="5">
        <v>0</v>
      </c>
      <c r="M93" s="5" t="s">
        <v>21</v>
      </c>
      <c r="N93" s="5" t="s">
        <v>29</v>
      </c>
    </row>
    <row r="94" spans="1:13">
      <c r="A94" s="5" t="s">
        <v>154</v>
      </c>
      <c r="B94" s="5">
        <v>49</v>
      </c>
      <c r="C94" s="5" t="s">
        <v>15</v>
      </c>
      <c r="D94" s="5" t="s">
        <v>16</v>
      </c>
      <c r="E94" s="5" t="s">
        <v>105</v>
      </c>
      <c r="F94" s="5" t="s">
        <v>55</v>
      </c>
      <c r="G94" s="5" t="s">
        <v>52</v>
      </c>
      <c r="I94" s="5">
        <v>796</v>
      </c>
      <c r="J94" s="5">
        <v>796</v>
      </c>
      <c r="K94" s="5" t="s">
        <v>63</v>
      </c>
      <c r="M94" s="5" t="s">
        <v>21</v>
      </c>
    </row>
    <row r="95" spans="1:14">
      <c r="A95" s="5" t="s">
        <v>155</v>
      </c>
      <c r="B95" s="5">
        <v>61</v>
      </c>
      <c r="C95" s="5" t="s">
        <v>15</v>
      </c>
      <c r="D95" s="5" t="s">
        <v>16</v>
      </c>
      <c r="E95" s="5" t="s">
        <v>105</v>
      </c>
      <c r="F95" s="5" t="s">
        <v>55</v>
      </c>
      <c r="G95" s="5" t="s">
        <v>52</v>
      </c>
      <c r="I95" s="5">
        <v>1885</v>
      </c>
      <c r="J95" s="5">
        <v>1885</v>
      </c>
      <c r="K95" s="5">
        <v>0</v>
      </c>
      <c r="M95" s="5" t="s">
        <v>21</v>
      </c>
      <c r="N95" s="5" t="s">
        <v>29</v>
      </c>
    </row>
    <row r="96" spans="1:14">
      <c r="A96" s="5" t="s">
        <v>156</v>
      </c>
      <c r="B96" s="5">
        <v>20</v>
      </c>
      <c r="C96" s="5" t="s">
        <v>15</v>
      </c>
      <c r="D96" s="5" t="s">
        <v>16</v>
      </c>
      <c r="E96" s="5" t="s">
        <v>105</v>
      </c>
      <c r="F96" s="5" t="s">
        <v>157</v>
      </c>
      <c r="G96" s="5" t="s">
        <v>52</v>
      </c>
      <c r="I96" s="5">
        <v>597</v>
      </c>
      <c r="J96" s="5">
        <v>597</v>
      </c>
      <c r="K96" s="5" t="s">
        <v>20</v>
      </c>
      <c r="M96" s="5" t="s">
        <v>21</v>
      </c>
      <c r="N96" s="5" t="s">
        <v>29</v>
      </c>
    </row>
    <row r="97" spans="1:14">
      <c r="A97" s="5" t="s">
        <v>158</v>
      </c>
      <c r="B97" s="5">
        <v>37</v>
      </c>
      <c r="C97" s="5" t="s">
        <v>15</v>
      </c>
      <c r="D97" s="5" t="s">
        <v>104</v>
      </c>
      <c r="E97" s="5" t="s">
        <v>105</v>
      </c>
      <c r="F97" s="5" t="s">
        <v>159</v>
      </c>
      <c r="G97" s="5" t="s">
        <v>32</v>
      </c>
      <c r="I97" s="5">
        <v>352</v>
      </c>
      <c r="J97" s="5">
        <v>352</v>
      </c>
      <c r="K97" s="5">
        <v>0</v>
      </c>
      <c r="M97" s="5" t="s">
        <v>29</v>
      </c>
      <c r="N97" s="5" t="s">
        <v>29</v>
      </c>
    </row>
    <row r="98" spans="1:13">
      <c r="A98" s="5" t="s">
        <v>160</v>
      </c>
      <c r="B98" s="5">
        <v>62</v>
      </c>
      <c r="C98" s="5" t="s">
        <v>15</v>
      </c>
      <c r="D98" s="5" t="s">
        <v>16</v>
      </c>
      <c r="E98" s="5" t="s">
        <v>105</v>
      </c>
      <c r="F98" s="5" t="s">
        <v>18</v>
      </c>
      <c r="G98" s="5" t="s">
        <v>19</v>
      </c>
      <c r="I98" s="5">
        <v>3765</v>
      </c>
      <c r="J98" s="5">
        <v>3765</v>
      </c>
      <c r="K98" s="5" t="s">
        <v>63</v>
      </c>
      <c r="M98" s="5" t="s">
        <v>26</v>
      </c>
    </row>
    <row r="99" spans="1:14">
      <c r="A99" s="5" t="s">
        <v>161</v>
      </c>
      <c r="B99" s="5">
        <v>36</v>
      </c>
      <c r="C99" s="5" t="s">
        <v>34</v>
      </c>
      <c r="D99" s="5" t="s">
        <v>16</v>
      </c>
      <c r="E99" s="5" t="s">
        <v>105</v>
      </c>
      <c r="F99" s="5" t="s">
        <v>31</v>
      </c>
      <c r="G99" s="5" t="s">
        <v>32</v>
      </c>
      <c r="I99" s="5">
        <v>478</v>
      </c>
      <c r="J99" s="5">
        <v>478</v>
      </c>
      <c r="K99" s="5">
        <v>0</v>
      </c>
      <c r="M99" s="5" t="s">
        <v>21</v>
      </c>
      <c r="N99" s="5" t="s">
        <v>29</v>
      </c>
    </row>
    <row r="100" spans="1:13">
      <c r="A100" s="5" t="s">
        <v>162</v>
      </c>
      <c r="B100" s="5">
        <v>51</v>
      </c>
      <c r="C100" s="5" t="s">
        <v>34</v>
      </c>
      <c r="D100" s="5" t="s">
        <v>16</v>
      </c>
      <c r="E100" s="5" t="s">
        <v>105</v>
      </c>
      <c r="F100" s="5" t="s">
        <v>31</v>
      </c>
      <c r="G100" s="5" t="s">
        <v>32</v>
      </c>
      <c r="I100" s="5">
        <v>1121</v>
      </c>
      <c r="J100" s="5">
        <v>1121</v>
      </c>
      <c r="K100" s="5">
        <v>0</v>
      </c>
      <c r="M100" s="5" t="s">
        <v>26</v>
      </c>
    </row>
    <row r="101" spans="1:14">
      <c r="A101" s="5" t="s">
        <v>163</v>
      </c>
      <c r="B101" s="5">
        <v>63</v>
      </c>
      <c r="C101" s="5" t="s">
        <v>15</v>
      </c>
      <c r="D101" s="5" t="s">
        <v>76</v>
      </c>
      <c r="E101" s="5" t="s">
        <v>105</v>
      </c>
      <c r="F101" s="5" t="s">
        <v>18</v>
      </c>
      <c r="G101" s="5" t="s">
        <v>32</v>
      </c>
      <c r="I101" s="5">
        <v>1547</v>
      </c>
      <c r="J101" s="5">
        <v>1547</v>
      </c>
      <c r="K101" s="5">
        <v>0</v>
      </c>
      <c r="M101" s="5" t="s">
        <v>21</v>
      </c>
      <c r="N101" s="5" t="s">
        <v>29</v>
      </c>
    </row>
    <row r="102" spans="1:14">
      <c r="A102" s="5" t="s">
        <v>164</v>
      </c>
      <c r="B102" s="5">
        <v>59</v>
      </c>
      <c r="C102" s="5" t="s">
        <v>34</v>
      </c>
      <c r="D102" s="5" t="s">
        <v>16</v>
      </c>
      <c r="E102" s="5" t="s">
        <v>105</v>
      </c>
      <c r="F102" s="5" t="s">
        <v>51</v>
      </c>
      <c r="G102" s="5" t="s">
        <v>67</v>
      </c>
      <c r="I102" s="5">
        <v>2625</v>
      </c>
      <c r="J102" s="5">
        <v>2625</v>
      </c>
      <c r="K102" s="5">
        <v>0</v>
      </c>
      <c r="M102" s="5" t="s">
        <v>21</v>
      </c>
      <c r="N102" s="5" t="s">
        <v>29</v>
      </c>
    </row>
    <row r="103" spans="1:14">
      <c r="A103" s="5" t="s">
        <v>165</v>
      </c>
      <c r="B103" s="5">
        <v>63</v>
      </c>
      <c r="C103" s="5" t="s">
        <v>34</v>
      </c>
      <c r="D103" s="5" t="s">
        <v>16</v>
      </c>
      <c r="E103" s="5" t="s">
        <v>105</v>
      </c>
      <c r="F103" s="5" t="s">
        <v>89</v>
      </c>
      <c r="G103" s="5" t="s">
        <v>52</v>
      </c>
      <c r="I103" s="5">
        <v>1579</v>
      </c>
      <c r="J103" s="5">
        <v>1579</v>
      </c>
      <c r="K103" s="5">
        <v>0</v>
      </c>
      <c r="M103" s="5" t="s">
        <v>21</v>
      </c>
      <c r="N103" s="5" t="s">
        <v>29</v>
      </c>
    </row>
    <row r="104" spans="1:14">
      <c r="A104" s="5" t="s">
        <v>166</v>
      </c>
      <c r="B104" s="5">
        <v>58</v>
      </c>
      <c r="C104" s="5" t="s">
        <v>15</v>
      </c>
      <c r="D104" s="5" t="s">
        <v>16</v>
      </c>
      <c r="E104" s="5" t="s">
        <v>105</v>
      </c>
      <c r="F104" s="5" t="s">
        <v>18</v>
      </c>
      <c r="G104" s="5" t="s">
        <v>167</v>
      </c>
      <c r="I104" s="5">
        <v>2579</v>
      </c>
      <c r="J104" s="5">
        <v>2579</v>
      </c>
      <c r="K104" s="5">
        <v>0</v>
      </c>
      <c r="M104" s="5" t="s">
        <v>21</v>
      </c>
      <c r="N104" s="5" t="s">
        <v>29</v>
      </c>
    </row>
    <row r="105" spans="1:14">
      <c r="A105" s="5" t="s">
        <v>168</v>
      </c>
      <c r="B105" s="5">
        <v>70</v>
      </c>
      <c r="C105" s="5" t="s">
        <v>34</v>
      </c>
      <c r="D105" s="5" t="s">
        <v>16</v>
      </c>
      <c r="E105" s="5" t="s">
        <v>105</v>
      </c>
      <c r="F105" s="5" t="s">
        <v>18</v>
      </c>
      <c r="G105" s="5" t="s">
        <v>52</v>
      </c>
      <c r="I105" s="5">
        <v>3406</v>
      </c>
      <c r="J105" s="5">
        <v>3406</v>
      </c>
      <c r="K105" s="5">
        <v>0</v>
      </c>
      <c r="M105" s="5" t="s">
        <v>21</v>
      </c>
      <c r="N105" s="5" t="s">
        <v>29</v>
      </c>
    </row>
    <row r="106" spans="1:14">
      <c r="A106" s="5" t="s">
        <v>169</v>
      </c>
      <c r="B106" s="5">
        <v>52</v>
      </c>
      <c r="C106" s="5" t="s">
        <v>34</v>
      </c>
      <c r="D106" s="5" t="s">
        <v>16</v>
      </c>
      <c r="E106" s="5" t="s">
        <v>105</v>
      </c>
      <c r="F106" s="5" t="s">
        <v>18</v>
      </c>
      <c r="G106" s="5" t="s">
        <v>57</v>
      </c>
      <c r="I106" s="5">
        <v>1129</v>
      </c>
      <c r="J106" s="5">
        <v>1129</v>
      </c>
      <c r="K106" s="5">
        <v>0</v>
      </c>
      <c r="M106" s="5" t="s">
        <v>21</v>
      </c>
      <c r="N106" s="5" t="s">
        <v>29</v>
      </c>
    </row>
    <row r="107" spans="1:14">
      <c r="A107" s="5" t="s">
        <v>170</v>
      </c>
      <c r="B107" s="5">
        <v>66</v>
      </c>
      <c r="C107" s="5" t="s">
        <v>34</v>
      </c>
      <c r="D107" s="5" t="s">
        <v>16</v>
      </c>
      <c r="E107" s="5" t="s">
        <v>105</v>
      </c>
      <c r="F107" s="5" t="s">
        <v>55</v>
      </c>
      <c r="G107" s="5" t="s">
        <v>67</v>
      </c>
      <c r="I107" s="5">
        <v>326</v>
      </c>
      <c r="J107" s="5">
        <v>326</v>
      </c>
      <c r="K107" s="5" t="s">
        <v>20</v>
      </c>
      <c r="M107" s="5" t="s">
        <v>21</v>
      </c>
      <c r="N107" s="5" t="s">
        <v>29</v>
      </c>
    </row>
    <row r="108" spans="1:14">
      <c r="A108" s="5" t="s">
        <v>171</v>
      </c>
      <c r="B108" s="5">
        <v>60</v>
      </c>
      <c r="C108" s="5" t="s">
        <v>34</v>
      </c>
      <c r="D108" s="5" t="s">
        <v>16</v>
      </c>
      <c r="E108" s="5" t="s">
        <v>105</v>
      </c>
      <c r="F108" s="5" t="s">
        <v>31</v>
      </c>
      <c r="G108" s="5" t="s">
        <v>32</v>
      </c>
      <c r="I108" s="5">
        <v>2408</v>
      </c>
      <c r="J108" s="5">
        <v>2408</v>
      </c>
      <c r="K108" s="5">
        <v>0</v>
      </c>
      <c r="M108" s="5" t="s">
        <v>29</v>
      </c>
      <c r="N108" s="5" t="s">
        <v>29</v>
      </c>
    </row>
    <row r="109" spans="1:14">
      <c r="A109" s="5" t="s">
        <v>172</v>
      </c>
      <c r="B109" s="5">
        <v>50</v>
      </c>
      <c r="C109" s="5" t="s">
        <v>15</v>
      </c>
      <c r="D109" s="5" t="s">
        <v>16</v>
      </c>
      <c r="E109" s="5" t="s">
        <v>105</v>
      </c>
      <c r="F109" s="5" t="s">
        <v>51</v>
      </c>
      <c r="G109" s="5" t="s">
        <v>74</v>
      </c>
      <c r="I109" s="5">
        <v>1045</v>
      </c>
      <c r="J109" s="5">
        <v>1045</v>
      </c>
      <c r="K109" s="5">
        <v>0</v>
      </c>
      <c r="M109" s="5" t="s">
        <v>21</v>
      </c>
      <c r="N109" s="5" t="s">
        <v>29</v>
      </c>
    </row>
    <row r="110" spans="1:14">
      <c r="A110" s="5" t="s">
        <v>173</v>
      </c>
      <c r="B110" s="5">
        <v>67</v>
      </c>
      <c r="C110" s="5" t="s">
        <v>15</v>
      </c>
      <c r="D110" s="5" t="s">
        <v>66</v>
      </c>
      <c r="E110" s="5" t="s">
        <v>105</v>
      </c>
      <c r="F110" s="5" t="s">
        <v>18</v>
      </c>
      <c r="G110" s="5" t="s">
        <v>32</v>
      </c>
      <c r="I110" s="5">
        <v>1013</v>
      </c>
      <c r="J110" s="5">
        <v>1013</v>
      </c>
      <c r="K110" s="5">
        <v>0</v>
      </c>
      <c r="M110" s="5" t="s">
        <v>21</v>
      </c>
      <c r="N110" s="5" t="s">
        <v>29</v>
      </c>
    </row>
    <row r="111" spans="1:14">
      <c r="A111" s="5" t="s">
        <v>174</v>
      </c>
      <c r="B111" s="5">
        <v>56</v>
      </c>
      <c r="C111" s="5" t="s">
        <v>34</v>
      </c>
      <c r="D111" s="5" t="s">
        <v>16</v>
      </c>
      <c r="E111" s="5" t="s">
        <v>105</v>
      </c>
      <c r="F111" s="5" t="s">
        <v>175</v>
      </c>
      <c r="G111" s="5" t="s">
        <v>32</v>
      </c>
      <c r="I111" s="5">
        <v>3964</v>
      </c>
      <c r="J111" s="5">
        <v>3964</v>
      </c>
      <c r="K111" s="5">
        <v>0</v>
      </c>
      <c r="M111" s="5" t="s">
        <v>26</v>
      </c>
      <c r="N111" s="5" t="s">
        <v>29</v>
      </c>
    </row>
    <row r="112" spans="1:14">
      <c r="A112" s="5" t="s">
        <v>176</v>
      </c>
      <c r="B112" s="5">
        <v>62</v>
      </c>
      <c r="C112" s="5" t="s">
        <v>15</v>
      </c>
      <c r="D112" s="5" t="s">
        <v>16</v>
      </c>
      <c r="E112" s="5" t="s">
        <v>105</v>
      </c>
      <c r="F112" s="5" t="s">
        <v>89</v>
      </c>
      <c r="G112" s="5" t="s">
        <v>52</v>
      </c>
      <c r="I112" s="5">
        <v>3238</v>
      </c>
      <c r="J112" s="5">
        <v>3238</v>
      </c>
      <c r="K112" s="5">
        <v>0</v>
      </c>
      <c r="M112" s="5" t="s">
        <v>21</v>
      </c>
      <c r="N112" s="5" t="s">
        <v>29</v>
      </c>
    </row>
    <row r="113" spans="1:14">
      <c r="A113" s="5" t="s">
        <v>177</v>
      </c>
      <c r="B113" s="5">
        <v>76</v>
      </c>
      <c r="C113" s="5" t="s">
        <v>15</v>
      </c>
      <c r="D113" s="5" t="s">
        <v>16</v>
      </c>
      <c r="E113" s="5" t="s">
        <v>105</v>
      </c>
      <c r="F113" s="5" t="s">
        <v>31</v>
      </c>
      <c r="G113" s="5" t="s">
        <v>32</v>
      </c>
      <c r="I113" s="5">
        <v>365</v>
      </c>
      <c r="J113" s="5">
        <v>365</v>
      </c>
      <c r="K113" s="5">
        <v>0</v>
      </c>
      <c r="M113" s="5" t="s">
        <v>21</v>
      </c>
      <c r="N113" s="5" t="s">
        <v>29</v>
      </c>
    </row>
    <row r="114" spans="1:14">
      <c r="A114" s="5" t="s">
        <v>178</v>
      </c>
      <c r="B114" s="5">
        <v>42</v>
      </c>
      <c r="C114" s="5" t="s">
        <v>34</v>
      </c>
      <c r="D114" s="5" t="s">
        <v>16</v>
      </c>
      <c r="E114" s="5" t="s">
        <v>105</v>
      </c>
      <c r="F114" s="5" t="s">
        <v>18</v>
      </c>
      <c r="G114" s="5" t="s">
        <v>67</v>
      </c>
      <c r="I114" s="5">
        <v>1622</v>
      </c>
      <c r="J114" s="5">
        <v>1622</v>
      </c>
      <c r="K114" s="5">
        <v>0</v>
      </c>
      <c r="M114" s="5" t="s">
        <v>21</v>
      </c>
      <c r="N114" s="5" t="s">
        <v>29</v>
      </c>
    </row>
    <row r="115" spans="1:14">
      <c r="A115" s="5" t="s">
        <v>179</v>
      </c>
      <c r="B115" s="5">
        <v>74</v>
      </c>
      <c r="C115" s="5" t="s">
        <v>34</v>
      </c>
      <c r="D115" s="5" t="s">
        <v>16</v>
      </c>
      <c r="E115" s="5" t="s">
        <v>105</v>
      </c>
      <c r="F115" s="5" t="s">
        <v>18</v>
      </c>
      <c r="G115" s="5" t="s">
        <v>52</v>
      </c>
      <c r="I115" s="5">
        <v>1379</v>
      </c>
      <c r="J115" s="5">
        <v>1379</v>
      </c>
      <c r="K115" s="5" t="s">
        <v>20</v>
      </c>
      <c r="M115" s="5" t="s">
        <v>21</v>
      </c>
      <c r="N115" s="5" t="s">
        <v>22</v>
      </c>
    </row>
    <row r="116" spans="1:14">
      <c r="A116" s="5" t="s">
        <v>180</v>
      </c>
      <c r="B116" s="5">
        <v>57</v>
      </c>
      <c r="C116" s="5" t="s">
        <v>15</v>
      </c>
      <c r="D116" s="5" t="s">
        <v>16</v>
      </c>
      <c r="E116" s="5" t="s">
        <v>105</v>
      </c>
      <c r="F116" s="5" t="s">
        <v>181</v>
      </c>
      <c r="G116" s="5" t="s">
        <v>182</v>
      </c>
      <c r="I116" s="5">
        <v>813</v>
      </c>
      <c r="J116" s="5">
        <v>813</v>
      </c>
      <c r="K116" s="5">
        <v>0</v>
      </c>
      <c r="M116" s="5" t="s">
        <v>21</v>
      </c>
      <c r="N116" s="5" t="s">
        <v>29</v>
      </c>
    </row>
    <row r="117" spans="1:14">
      <c r="A117" s="5" t="s">
        <v>183</v>
      </c>
      <c r="B117" s="5">
        <v>49</v>
      </c>
      <c r="C117" s="5" t="s">
        <v>15</v>
      </c>
      <c r="D117" s="5" t="s">
        <v>16</v>
      </c>
      <c r="E117" s="5" t="s">
        <v>105</v>
      </c>
      <c r="F117" s="5" t="s">
        <v>18</v>
      </c>
      <c r="G117" s="5" t="s">
        <v>19</v>
      </c>
      <c r="I117" s="5">
        <v>1927</v>
      </c>
      <c r="J117" s="5">
        <v>1927</v>
      </c>
      <c r="K117" s="5">
        <v>0</v>
      </c>
      <c r="M117" s="5" t="s">
        <v>21</v>
      </c>
      <c r="N117" s="5" t="s">
        <v>29</v>
      </c>
    </row>
    <row r="118" spans="1:13">
      <c r="A118" s="5" t="s">
        <v>184</v>
      </c>
      <c r="B118" s="5">
        <v>65</v>
      </c>
      <c r="C118" s="5" t="s">
        <v>15</v>
      </c>
      <c r="D118" s="5" t="s">
        <v>66</v>
      </c>
      <c r="E118" s="5" t="s">
        <v>105</v>
      </c>
      <c r="F118" s="5" t="s">
        <v>18</v>
      </c>
      <c r="G118" s="5" t="s">
        <v>19</v>
      </c>
      <c r="I118" s="5">
        <v>298</v>
      </c>
      <c r="J118" s="5">
        <v>298</v>
      </c>
      <c r="K118" s="5">
        <v>0</v>
      </c>
      <c r="L118" s="5">
        <v>0</v>
      </c>
      <c r="M118" s="5" t="s">
        <v>29</v>
      </c>
    </row>
    <row r="119" spans="1:14">
      <c r="A119" s="5" t="s">
        <v>185</v>
      </c>
      <c r="B119" s="5">
        <v>53</v>
      </c>
      <c r="C119" s="5" t="s">
        <v>15</v>
      </c>
      <c r="D119" s="5" t="s">
        <v>76</v>
      </c>
      <c r="E119" s="5" t="s">
        <v>105</v>
      </c>
      <c r="F119" s="5" t="s">
        <v>18</v>
      </c>
      <c r="G119" s="5" t="s">
        <v>32</v>
      </c>
      <c r="I119" s="5">
        <v>768</v>
      </c>
      <c r="J119" s="5">
        <v>768</v>
      </c>
      <c r="K119" s="5" t="s">
        <v>116</v>
      </c>
      <c r="M119" s="5" t="s">
        <v>21</v>
      </c>
      <c r="N119" s="5" t="s">
        <v>22</v>
      </c>
    </row>
    <row r="120" spans="1:14">
      <c r="A120" s="5" t="s">
        <v>186</v>
      </c>
      <c r="B120" s="5">
        <v>28</v>
      </c>
      <c r="C120" s="5" t="s">
        <v>34</v>
      </c>
      <c r="D120" s="5" t="s">
        <v>16</v>
      </c>
      <c r="E120" s="5" t="s">
        <v>105</v>
      </c>
      <c r="F120" s="5" t="s">
        <v>24</v>
      </c>
      <c r="G120" s="5" t="s">
        <v>110</v>
      </c>
      <c r="I120" s="5">
        <v>681</v>
      </c>
      <c r="J120" s="5">
        <v>681</v>
      </c>
      <c r="K120" s="5">
        <v>0</v>
      </c>
      <c r="M120" s="5" t="s">
        <v>29</v>
      </c>
      <c r="N120" s="5" t="s">
        <v>29</v>
      </c>
    </row>
    <row r="121" spans="1:14">
      <c r="A121" s="5" t="s">
        <v>187</v>
      </c>
      <c r="B121" s="5">
        <v>57</v>
      </c>
      <c r="C121" s="5" t="s">
        <v>15</v>
      </c>
      <c r="D121" s="5" t="s">
        <v>76</v>
      </c>
      <c r="E121" s="5" t="s">
        <v>105</v>
      </c>
      <c r="F121" s="5" t="s">
        <v>18</v>
      </c>
      <c r="G121" s="5" t="s">
        <v>32</v>
      </c>
      <c r="I121" s="5">
        <v>456</v>
      </c>
      <c r="J121" s="5">
        <v>456</v>
      </c>
      <c r="K121" s="5">
        <v>0</v>
      </c>
      <c r="M121" s="5" t="s">
        <v>21</v>
      </c>
      <c r="N121" s="5" t="s">
        <v>29</v>
      </c>
    </row>
    <row r="122" spans="1:14">
      <c r="A122" s="5" t="s">
        <v>188</v>
      </c>
      <c r="B122" s="5">
        <v>70</v>
      </c>
      <c r="C122" s="5" t="s">
        <v>15</v>
      </c>
      <c r="D122" s="5" t="s">
        <v>16</v>
      </c>
      <c r="E122" s="5" t="s">
        <v>105</v>
      </c>
      <c r="F122" s="5" t="s">
        <v>18</v>
      </c>
      <c r="G122" s="5" t="s">
        <v>32</v>
      </c>
      <c r="I122" s="5">
        <v>1303</v>
      </c>
      <c r="J122" s="5">
        <v>1303</v>
      </c>
      <c r="K122" s="5">
        <v>0</v>
      </c>
      <c r="M122" s="5" t="s">
        <v>21</v>
      </c>
      <c r="N122" s="5" t="s">
        <v>29</v>
      </c>
    </row>
    <row r="123" spans="1:14">
      <c r="A123" s="5" t="s">
        <v>189</v>
      </c>
      <c r="B123" s="5">
        <v>63</v>
      </c>
      <c r="C123" s="5" t="s">
        <v>34</v>
      </c>
      <c r="D123" s="5" t="s">
        <v>16</v>
      </c>
      <c r="E123" s="5" t="s">
        <v>105</v>
      </c>
      <c r="F123" s="5" t="s">
        <v>18</v>
      </c>
      <c r="G123" s="5" t="s">
        <v>32</v>
      </c>
      <c r="I123" s="5">
        <v>15</v>
      </c>
      <c r="J123" s="5">
        <v>15</v>
      </c>
      <c r="K123" s="5" t="s">
        <v>29</v>
      </c>
      <c r="M123" s="5" t="s">
        <v>21</v>
      </c>
      <c r="N123" s="5" t="s">
        <v>29</v>
      </c>
    </row>
    <row r="124" spans="1:14">
      <c r="A124" s="5" t="s">
        <v>190</v>
      </c>
      <c r="B124" s="5">
        <v>65</v>
      </c>
      <c r="C124" s="5" t="s">
        <v>15</v>
      </c>
      <c r="D124" s="5" t="s">
        <v>16</v>
      </c>
      <c r="E124" s="5" t="s">
        <v>105</v>
      </c>
      <c r="F124" s="5" t="s">
        <v>55</v>
      </c>
      <c r="G124" s="5" t="s">
        <v>67</v>
      </c>
      <c r="I124" s="5">
        <v>605</v>
      </c>
      <c r="J124" s="5">
        <v>605</v>
      </c>
      <c r="K124" s="5">
        <v>0</v>
      </c>
      <c r="M124" s="5" t="s">
        <v>21</v>
      </c>
      <c r="N124" s="5" t="s">
        <v>29</v>
      </c>
    </row>
    <row r="125" spans="1:14">
      <c r="A125" s="5" t="s">
        <v>191</v>
      </c>
      <c r="B125" s="5">
        <v>52</v>
      </c>
      <c r="C125" s="5" t="s">
        <v>15</v>
      </c>
      <c r="D125" s="5" t="s">
        <v>16</v>
      </c>
      <c r="E125" s="5" t="s">
        <v>105</v>
      </c>
      <c r="F125" s="5" t="s">
        <v>18</v>
      </c>
      <c r="G125" s="5" t="s">
        <v>124</v>
      </c>
      <c r="I125" s="5">
        <v>831</v>
      </c>
      <c r="J125" s="5">
        <v>831</v>
      </c>
      <c r="K125" s="5" t="s">
        <v>116</v>
      </c>
      <c r="M125" s="5" t="s">
        <v>21</v>
      </c>
      <c r="N125" s="5" t="s">
        <v>22</v>
      </c>
    </row>
    <row r="126" spans="1:14">
      <c r="A126" s="5" t="s">
        <v>192</v>
      </c>
      <c r="B126" s="5">
        <v>63</v>
      </c>
      <c r="C126" s="5" t="s">
        <v>15</v>
      </c>
      <c r="D126" s="5" t="s">
        <v>16</v>
      </c>
      <c r="E126" s="5" t="s">
        <v>105</v>
      </c>
      <c r="F126" s="5" t="s">
        <v>89</v>
      </c>
      <c r="G126" s="5" t="s">
        <v>52</v>
      </c>
      <c r="I126" s="5">
        <v>4573</v>
      </c>
      <c r="J126" s="5">
        <v>4573</v>
      </c>
      <c r="K126" s="5">
        <v>0</v>
      </c>
      <c r="M126" s="5" t="s">
        <v>21</v>
      </c>
      <c r="N126" s="5" t="s">
        <v>29</v>
      </c>
    </row>
    <row r="127" spans="1:14">
      <c r="A127" s="5" t="s">
        <v>193</v>
      </c>
      <c r="B127" s="5">
        <v>65</v>
      </c>
      <c r="C127" s="5" t="s">
        <v>15</v>
      </c>
      <c r="D127" s="5" t="s">
        <v>16</v>
      </c>
      <c r="E127" s="5" t="s">
        <v>105</v>
      </c>
      <c r="F127" s="5" t="s">
        <v>18</v>
      </c>
      <c r="G127" s="5" t="s">
        <v>194</v>
      </c>
      <c r="I127" s="5">
        <v>660</v>
      </c>
      <c r="J127" s="5">
        <v>660</v>
      </c>
      <c r="K127" s="5">
        <v>0</v>
      </c>
      <c r="M127" s="5" t="s">
        <v>21</v>
      </c>
      <c r="N127" s="5" t="s">
        <v>29</v>
      </c>
    </row>
    <row r="128" spans="1:14">
      <c r="A128" s="5" t="s">
        <v>195</v>
      </c>
      <c r="B128" s="5">
        <v>53</v>
      </c>
      <c r="C128" s="5" t="s">
        <v>34</v>
      </c>
      <c r="D128" s="5" t="s">
        <v>16</v>
      </c>
      <c r="E128" s="5" t="s">
        <v>105</v>
      </c>
      <c r="F128" s="5" t="s">
        <v>31</v>
      </c>
      <c r="G128" s="5" t="s">
        <v>32</v>
      </c>
      <c r="I128" s="5">
        <v>2901</v>
      </c>
      <c r="J128" s="5">
        <v>2901</v>
      </c>
      <c r="K128" s="5">
        <v>0</v>
      </c>
      <c r="M128" s="5" t="s">
        <v>29</v>
      </c>
      <c r="N128" s="5" t="s">
        <v>29</v>
      </c>
    </row>
    <row r="129" spans="1:13">
      <c r="A129" s="5" t="s">
        <v>196</v>
      </c>
      <c r="B129" s="5">
        <v>60</v>
      </c>
      <c r="C129" s="5" t="s">
        <v>34</v>
      </c>
      <c r="D129" s="5" t="s">
        <v>16</v>
      </c>
      <c r="E129" s="5" t="s">
        <v>105</v>
      </c>
      <c r="F129" s="5" t="s">
        <v>31</v>
      </c>
      <c r="G129" s="5" t="s">
        <v>32</v>
      </c>
      <c r="I129" s="5">
        <v>2036</v>
      </c>
      <c r="J129" s="5">
        <v>2036</v>
      </c>
      <c r="K129" s="5">
        <v>0</v>
      </c>
      <c r="M129" s="5" t="s">
        <v>26</v>
      </c>
    </row>
    <row r="130" spans="1:13">
      <c r="A130" s="5" t="s">
        <v>197</v>
      </c>
      <c r="B130" s="5">
        <v>59</v>
      </c>
      <c r="C130" s="5" t="s">
        <v>34</v>
      </c>
      <c r="D130" s="5" t="s">
        <v>16</v>
      </c>
      <c r="E130" s="5" t="s">
        <v>105</v>
      </c>
      <c r="F130" s="5" t="s">
        <v>31</v>
      </c>
      <c r="G130" s="5" t="s">
        <v>32</v>
      </c>
      <c r="I130" s="5">
        <v>1055</v>
      </c>
      <c r="J130" s="5">
        <v>1055</v>
      </c>
      <c r="K130" s="5">
        <v>0</v>
      </c>
      <c r="M130" s="5" t="s">
        <v>29</v>
      </c>
    </row>
    <row r="131" spans="1:13">
      <c r="A131" s="5" t="s">
        <v>198</v>
      </c>
      <c r="B131" s="5">
        <v>41</v>
      </c>
      <c r="C131" s="5" t="s">
        <v>34</v>
      </c>
      <c r="D131" s="5" t="s">
        <v>16</v>
      </c>
      <c r="E131" s="5" t="s">
        <v>105</v>
      </c>
      <c r="F131" s="5" t="s">
        <v>18</v>
      </c>
      <c r="G131" s="5" t="s">
        <v>32</v>
      </c>
      <c r="I131" s="5">
        <v>805</v>
      </c>
      <c r="J131" s="5">
        <v>805</v>
      </c>
      <c r="K131" s="5" t="s">
        <v>49</v>
      </c>
      <c r="M131" s="5" t="s">
        <v>26</v>
      </c>
    </row>
    <row r="132" spans="1:14">
      <c r="A132" s="5" t="s">
        <v>199</v>
      </c>
      <c r="B132" s="5">
        <v>78</v>
      </c>
      <c r="C132" s="5" t="s">
        <v>15</v>
      </c>
      <c r="D132" s="5" t="s">
        <v>16</v>
      </c>
      <c r="E132" s="5" t="s">
        <v>105</v>
      </c>
      <c r="F132" s="5" t="s">
        <v>55</v>
      </c>
      <c r="G132" s="5" t="s">
        <v>52</v>
      </c>
      <c r="I132" s="5">
        <v>1161</v>
      </c>
      <c r="J132" s="5">
        <v>1161</v>
      </c>
      <c r="K132" s="5">
        <v>0</v>
      </c>
      <c r="M132" s="5" t="s">
        <v>21</v>
      </c>
      <c r="N132" s="5" t="s">
        <v>29</v>
      </c>
    </row>
    <row r="133" spans="1:14">
      <c r="A133" s="5" t="s">
        <v>200</v>
      </c>
      <c r="B133" s="5">
        <v>59</v>
      </c>
      <c r="C133" s="5" t="s">
        <v>15</v>
      </c>
      <c r="D133" s="5" t="s">
        <v>104</v>
      </c>
      <c r="E133" s="5" t="s">
        <v>105</v>
      </c>
      <c r="F133" s="5" t="s">
        <v>18</v>
      </c>
      <c r="G133" s="5" t="s">
        <v>19</v>
      </c>
      <c r="I133" s="5">
        <v>688</v>
      </c>
      <c r="J133" s="5">
        <v>688</v>
      </c>
      <c r="K133" s="5">
        <v>0</v>
      </c>
      <c r="M133" s="5" t="s">
        <v>21</v>
      </c>
      <c r="N133" s="5" t="s">
        <v>29</v>
      </c>
    </row>
    <row r="134" spans="1:14">
      <c r="A134" s="5" t="s">
        <v>201</v>
      </c>
      <c r="B134" s="5">
        <v>24</v>
      </c>
      <c r="C134" s="5" t="s">
        <v>15</v>
      </c>
      <c r="D134" s="5" t="s">
        <v>16</v>
      </c>
      <c r="E134" s="5" t="s">
        <v>105</v>
      </c>
      <c r="F134" s="5" t="s">
        <v>202</v>
      </c>
      <c r="G134" s="5" t="s">
        <v>52</v>
      </c>
      <c r="I134" s="5">
        <v>896</v>
      </c>
      <c r="J134" s="5">
        <v>896</v>
      </c>
      <c r="K134" s="5">
        <v>0</v>
      </c>
      <c r="M134" s="5" t="s">
        <v>21</v>
      </c>
      <c r="N134" s="5" t="s">
        <v>29</v>
      </c>
    </row>
    <row r="135" spans="1:14">
      <c r="A135" s="5" t="s">
        <v>203</v>
      </c>
      <c r="B135" s="5">
        <v>45</v>
      </c>
      <c r="C135" s="5" t="s">
        <v>15</v>
      </c>
      <c r="D135" s="5" t="s">
        <v>76</v>
      </c>
      <c r="E135" s="5" t="s">
        <v>105</v>
      </c>
      <c r="F135" s="5" t="s">
        <v>18</v>
      </c>
      <c r="G135" s="5" t="s">
        <v>204</v>
      </c>
      <c r="I135" s="5">
        <v>1138</v>
      </c>
      <c r="J135" s="5">
        <v>1138</v>
      </c>
      <c r="K135" s="5">
        <v>0</v>
      </c>
      <c r="M135" s="5" t="s">
        <v>21</v>
      </c>
      <c r="N135" s="5" t="s">
        <v>29</v>
      </c>
    </row>
    <row r="136" spans="1:14">
      <c r="A136" s="5" t="s">
        <v>205</v>
      </c>
      <c r="B136" s="5">
        <v>79</v>
      </c>
      <c r="C136" s="5" t="s">
        <v>15</v>
      </c>
      <c r="D136" s="5" t="s">
        <v>16</v>
      </c>
      <c r="E136" s="5" t="s">
        <v>105</v>
      </c>
      <c r="F136" s="5" t="s">
        <v>51</v>
      </c>
      <c r="G136" s="5" t="s">
        <v>32</v>
      </c>
      <c r="I136" s="5">
        <v>721</v>
      </c>
      <c r="J136" s="5">
        <v>721</v>
      </c>
      <c r="K136" s="5">
        <v>0</v>
      </c>
      <c r="M136" s="5" t="s">
        <v>21</v>
      </c>
      <c r="N136" s="5" t="s">
        <v>29</v>
      </c>
    </row>
    <row r="137" spans="1:14">
      <c r="A137" s="5" t="s">
        <v>206</v>
      </c>
      <c r="B137" s="5">
        <v>47</v>
      </c>
      <c r="C137" s="5" t="s">
        <v>34</v>
      </c>
      <c r="D137" s="5" t="s">
        <v>16</v>
      </c>
      <c r="E137" s="5" t="s">
        <v>105</v>
      </c>
      <c r="F137" s="5" t="s">
        <v>31</v>
      </c>
      <c r="G137" s="5" t="s">
        <v>32</v>
      </c>
      <c r="I137" s="5">
        <v>1073</v>
      </c>
      <c r="J137" s="5">
        <v>1073</v>
      </c>
      <c r="K137" s="5">
        <v>0</v>
      </c>
      <c r="M137" s="5" t="s">
        <v>29</v>
      </c>
      <c r="N137" s="5" t="s">
        <v>29</v>
      </c>
    </row>
    <row r="138" spans="1:14">
      <c r="A138" s="5" t="s">
        <v>207</v>
      </c>
      <c r="B138" s="5">
        <v>51</v>
      </c>
      <c r="C138" s="5" t="s">
        <v>34</v>
      </c>
      <c r="D138" s="5" t="s">
        <v>16</v>
      </c>
      <c r="E138" s="5" t="s">
        <v>105</v>
      </c>
      <c r="F138" s="5" t="s">
        <v>31</v>
      </c>
      <c r="G138" s="5" t="s">
        <v>208</v>
      </c>
      <c r="I138" s="5">
        <v>1834</v>
      </c>
      <c r="J138" s="5">
        <v>1834</v>
      </c>
      <c r="K138" s="5">
        <v>0</v>
      </c>
      <c r="M138" s="5" t="s">
        <v>29</v>
      </c>
      <c r="N138" s="5" t="s">
        <v>29</v>
      </c>
    </row>
    <row r="139" spans="1:13">
      <c r="A139" s="5" t="s">
        <v>209</v>
      </c>
      <c r="B139" s="5">
        <v>78</v>
      </c>
      <c r="C139" s="5" t="s">
        <v>15</v>
      </c>
      <c r="D139" s="5" t="s">
        <v>16</v>
      </c>
      <c r="E139" s="5" t="s">
        <v>17</v>
      </c>
      <c r="F139" s="5" t="s">
        <v>51</v>
      </c>
      <c r="G139" s="5" t="s">
        <v>52</v>
      </c>
      <c r="H139" s="5">
        <v>1953</v>
      </c>
      <c r="I139" s="5">
        <v>0</v>
      </c>
      <c r="J139" s="5">
        <v>1953</v>
      </c>
      <c r="K139" s="5">
        <v>0</v>
      </c>
      <c r="L139" s="5">
        <v>0</v>
      </c>
      <c r="M139" s="5" t="s">
        <v>21</v>
      </c>
    </row>
    <row r="140" spans="1:14">
      <c r="A140" s="5" t="s">
        <v>210</v>
      </c>
      <c r="B140" s="5">
        <v>31</v>
      </c>
      <c r="C140" s="5" t="s">
        <v>15</v>
      </c>
      <c r="D140" s="5" t="s">
        <v>16</v>
      </c>
      <c r="E140" s="5" t="s">
        <v>17</v>
      </c>
      <c r="F140" s="5" t="s">
        <v>123</v>
      </c>
      <c r="G140" s="5" t="s">
        <v>74</v>
      </c>
      <c r="H140" s="5">
        <v>245</v>
      </c>
      <c r="I140" s="5">
        <v>63</v>
      </c>
      <c r="J140" s="5">
        <v>308</v>
      </c>
      <c r="K140" s="5">
        <v>0</v>
      </c>
      <c r="M140" s="5" t="s">
        <v>21</v>
      </c>
      <c r="N140" s="5" t="s">
        <v>29</v>
      </c>
    </row>
    <row r="141" spans="1:13">
      <c r="A141" s="5" t="s">
        <v>211</v>
      </c>
      <c r="B141" s="5">
        <v>79</v>
      </c>
      <c r="C141" s="5" t="s">
        <v>34</v>
      </c>
      <c r="D141" s="5" t="s">
        <v>16</v>
      </c>
      <c r="E141" s="5" t="s">
        <v>17</v>
      </c>
      <c r="F141" s="5" t="s">
        <v>89</v>
      </c>
      <c r="G141" s="5" t="s">
        <v>52</v>
      </c>
      <c r="H141" s="5">
        <v>367</v>
      </c>
      <c r="I141" s="5">
        <v>0</v>
      </c>
      <c r="J141" s="5">
        <v>367</v>
      </c>
      <c r="K141" s="5" t="s">
        <v>20</v>
      </c>
      <c r="L141" s="5">
        <v>0</v>
      </c>
      <c r="M141" s="5" t="s">
        <v>26</v>
      </c>
    </row>
    <row r="142" spans="1:13">
      <c r="A142" s="5" t="s">
        <v>212</v>
      </c>
      <c r="B142" s="5">
        <v>88</v>
      </c>
      <c r="C142" s="5" t="s">
        <v>15</v>
      </c>
      <c r="D142" s="5" t="s">
        <v>16</v>
      </c>
      <c r="E142" s="5" t="s">
        <v>17</v>
      </c>
      <c r="F142" s="5" t="s">
        <v>55</v>
      </c>
      <c r="G142" s="5" t="s">
        <v>52</v>
      </c>
      <c r="H142" s="5">
        <v>570</v>
      </c>
      <c r="I142" s="5">
        <v>0</v>
      </c>
      <c r="J142" s="5">
        <v>570</v>
      </c>
      <c r="K142" s="5" t="s">
        <v>20</v>
      </c>
      <c r="L142" s="5">
        <v>0</v>
      </c>
      <c r="M142" s="5" t="s">
        <v>26</v>
      </c>
    </row>
    <row r="143" spans="1:14">
      <c r="A143" s="5" t="s">
        <v>213</v>
      </c>
      <c r="B143" s="5">
        <v>43</v>
      </c>
      <c r="C143" s="5" t="s">
        <v>34</v>
      </c>
      <c r="D143" s="5" t="s">
        <v>66</v>
      </c>
      <c r="E143" s="5" t="s">
        <v>17</v>
      </c>
      <c r="F143" s="5" t="s">
        <v>18</v>
      </c>
      <c r="G143" s="5" t="s">
        <v>32</v>
      </c>
      <c r="H143" s="5">
        <v>138</v>
      </c>
      <c r="I143" s="5">
        <v>0</v>
      </c>
      <c r="J143" s="5">
        <v>138</v>
      </c>
      <c r="K143" s="5" t="s">
        <v>20</v>
      </c>
      <c r="M143" s="5" t="s">
        <v>29</v>
      </c>
      <c r="N143" s="5" t="s">
        <v>22</v>
      </c>
    </row>
    <row r="144" spans="1:14">
      <c r="A144" s="5" t="s">
        <v>214</v>
      </c>
      <c r="B144" s="5">
        <v>69</v>
      </c>
      <c r="C144" s="5" t="s">
        <v>15</v>
      </c>
      <c r="D144" s="5" t="s">
        <v>66</v>
      </c>
      <c r="E144" s="5" t="s">
        <v>17</v>
      </c>
      <c r="F144" s="5" t="s">
        <v>18</v>
      </c>
      <c r="G144" s="5" t="s">
        <v>19</v>
      </c>
      <c r="H144" s="5">
        <v>22</v>
      </c>
      <c r="I144" s="5">
        <v>3</v>
      </c>
      <c r="J144" s="5">
        <v>25</v>
      </c>
      <c r="K144" s="5">
        <v>0</v>
      </c>
      <c r="M144" s="5" t="s">
        <v>29</v>
      </c>
      <c r="N144" s="5" t="s">
        <v>29</v>
      </c>
    </row>
    <row r="145" spans="1:14">
      <c r="A145" s="5" t="s">
        <v>215</v>
      </c>
      <c r="B145" s="5">
        <v>49</v>
      </c>
      <c r="C145" s="5" t="s">
        <v>15</v>
      </c>
      <c r="D145" s="5" t="s">
        <v>16</v>
      </c>
      <c r="E145" s="5" t="s">
        <v>17</v>
      </c>
      <c r="F145" s="5" t="s">
        <v>18</v>
      </c>
      <c r="G145" s="5" t="s">
        <v>52</v>
      </c>
      <c r="H145" s="5">
        <v>738</v>
      </c>
      <c r="I145" s="5">
        <v>0</v>
      </c>
      <c r="J145" s="5">
        <v>738</v>
      </c>
      <c r="K145" s="5" t="s">
        <v>20</v>
      </c>
      <c r="M145" s="5" t="s">
        <v>29</v>
      </c>
      <c r="N145" s="5" t="s">
        <v>22</v>
      </c>
    </row>
    <row r="146" spans="1:13">
      <c r="A146" s="5" t="s">
        <v>216</v>
      </c>
      <c r="B146" s="5">
        <v>72</v>
      </c>
      <c r="C146" s="5" t="s">
        <v>34</v>
      </c>
      <c r="D146" s="5" t="s">
        <v>16</v>
      </c>
      <c r="E146" s="5" t="s">
        <v>17</v>
      </c>
      <c r="F146" s="5" t="s">
        <v>55</v>
      </c>
      <c r="G146" s="5" t="s">
        <v>32</v>
      </c>
      <c r="H146" s="5">
        <v>35</v>
      </c>
      <c r="I146" s="5">
        <v>0</v>
      </c>
      <c r="J146" s="5">
        <v>35</v>
      </c>
      <c r="K146" s="5">
        <v>0</v>
      </c>
      <c r="L146" s="5">
        <v>0</v>
      </c>
      <c r="M146" s="5" t="s">
        <v>21</v>
      </c>
    </row>
    <row r="147" spans="1:13">
      <c r="A147" s="5" t="s">
        <v>217</v>
      </c>
      <c r="B147" s="5">
        <v>58</v>
      </c>
      <c r="C147" s="5" t="s">
        <v>15</v>
      </c>
      <c r="D147" s="5" t="s">
        <v>16</v>
      </c>
      <c r="E147" s="5" t="s">
        <v>17</v>
      </c>
      <c r="F147" s="5" t="s">
        <v>18</v>
      </c>
      <c r="G147" s="5" t="s">
        <v>32</v>
      </c>
      <c r="H147" s="5">
        <v>384</v>
      </c>
      <c r="I147" s="5">
        <v>0</v>
      </c>
      <c r="J147" s="5">
        <v>384</v>
      </c>
      <c r="K147" s="5">
        <v>0</v>
      </c>
      <c r="L147" s="5">
        <v>0</v>
      </c>
      <c r="M147" s="5">
        <v>0</v>
      </c>
    </row>
    <row r="148" spans="1:14">
      <c r="A148" s="5" t="s">
        <v>218</v>
      </c>
      <c r="B148" s="5">
        <v>70</v>
      </c>
      <c r="C148" s="5" t="s">
        <v>15</v>
      </c>
      <c r="D148" s="5" t="s">
        <v>16</v>
      </c>
      <c r="E148" s="5" t="s">
        <v>17</v>
      </c>
      <c r="F148" s="5" t="s">
        <v>55</v>
      </c>
      <c r="G148" s="5" t="s">
        <v>52</v>
      </c>
      <c r="H148" s="5">
        <v>628</v>
      </c>
      <c r="I148" s="5">
        <v>512</v>
      </c>
      <c r="J148" s="5">
        <v>1140</v>
      </c>
      <c r="K148" s="5" t="s">
        <v>20</v>
      </c>
      <c r="M148" s="5" t="s">
        <v>21</v>
      </c>
      <c r="N148" s="5" t="s">
        <v>22</v>
      </c>
    </row>
    <row r="149" spans="1:14">
      <c r="A149" s="5" t="s">
        <v>219</v>
      </c>
      <c r="B149" s="5">
        <v>66</v>
      </c>
      <c r="C149" s="5" t="s">
        <v>15</v>
      </c>
      <c r="D149" s="5" t="s">
        <v>16</v>
      </c>
      <c r="E149" s="5" t="s">
        <v>17</v>
      </c>
      <c r="F149" s="5" t="s">
        <v>51</v>
      </c>
      <c r="G149" s="5" t="s">
        <v>52</v>
      </c>
      <c r="H149" s="5">
        <v>711</v>
      </c>
      <c r="I149" s="5">
        <v>330</v>
      </c>
      <c r="J149" s="5">
        <v>1041</v>
      </c>
      <c r="K149" s="5">
        <v>0</v>
      </c>
      <c r="M149" s="5" t="s">
        <v>29</v>
      </c>
      <c r="N149" s="5" t="s">
        <v>29</v>
      </c>
    </row>
    <row r="150" spans="1:13">
      <c r="A150" s="5" t="s">
        <v>220</v>
      </c>
      <c r="B150" s="5">
        <v>75</v>
      </c>
      <c r="C150" s="5" t="s">
        <v>34</v>
      </c>
      <c r="D150" s="5" t="s">
        <v>16</v>
      </c>
      <c r="E150" s="5" t="s">
        <v>17</v>
      </c>
      <c r="F150" s="5" t="s">
        <v>131</v>
      </c>
      <c r="G150" s="5" t="s">
        <v>25</v>
      </c>
      <c r="H150" s="5">
        <v>139</v>
      </c>
      <c r="I150" s="5">
        <v>0</v>
      </c>
      <c r="J150" s="5">
        <v>139</v>
      </c>
      <c r="K150" s="5">
        <v>0</v>
      </c>
      <c r="L150" s="5">
        <v>0</v>
      </c>
      <c r="M150" s="5" t="s">
        <v>21</v>
      </c>
    </row>
    <row r="151" spans="1:14">
      <c r="A151" s="5" t="s">
        <v>221</v>
      </c>
      <c r="B151" s="5">
        <v>86</v>
      </c>
      <c r="C151" s="5" t="s">
        <v>34</v>
      </c>
      <c r="D151" s="5" t="s">
        <v>16</v>
      </c>
      <c r="E151" s="5" t="s">
        <v>17</v>
      </c>
      <c r="F151" s="5" t="s">
        <v>55</v>
      </c>
      <c r="G151" s="5" t="s">
        <v>83</v>
      </c>
      <c r="H151" s="5">
        <v>439</v>
      </c>
      <c r="I151" s="5">
        <v>102</v>
      </c>
      <c r="J151" s="5">
        <v>541</v>
      </c>
      <c r="K151" s="5" t="s">
        <v>63</v>
      </c>
      <c r="M151" s="5" t="s">
        <v>21</v>
      </c>
      <c r="N151" s="5" t="s">
        <v>22</v>
      </c>
    </row>
    <row r="152" spans="1:13">
      <c r="A152" s="5" t="s">
        <v>222</v>
      </c>
      <c r="B152" s="5">
        <v>78</v>
      </c>
      <c r="C152" s="5" t="s">
        <v>15</v>
      </c>
      <c r="D152" s="5" t="s">
        <v>16</v>
      </c>
      <c r="E152" s="5" t="s">
        <v>17</v>
      </c>
      <c r="F152" s="5" t="s">
        <v>31</v>
      </c>
      <c r="G152" s="5" t="s">
        <v>32</v>
      </c>
      <c r="H152" s="5">
        <v>1049</v>
      </c>
      <c r="I152" s="5">
        <v>0</v>
      </c>
      <c r="J152" s="5">
        <v>1049</v>
      </c>
      <c r="K152" s="5">
        <v>0</v>
      </c>
      <c r="L152" s="5">
        <v>0</v>
      </c>
      <c r="M152" s="5" t="s">
        <v>26</v>
      </c>
    </row>
    <row r="153" spans="1:13">
      <c r="A153" s="5" t="s">
        <v>223</v>
      </c>
      <c r="B153" s="5">
        <v>66</v>
      </c>
      <c r="C153" s="5" t="s">
        <v>34</v>
      </c>
      <c r="D153" s="5" t="s">
        <v>66</v>
      </c>
      <c r="E153" s="5" t="s">
        <v>17</v>
      </c>
      <c r="F153" s="5" t="s">
        <v>31</v>
      </c>
      <c r="G153" s="5" t="s">
        <v>32</v>
      </c>
      <c r="H153" s="5">
        <v>17</v>
      </c>
      <c r="I153" s="5">
        <v>0</v>
      </c>
      <c r="J153" s="5">
        <v>17</v>
      </c>
      <c r="K153" s="5" t="s">
        <v>20</v>
      </c>
      <c r="L153" s="5">
        <v>0</v>
      </c>
      <c r="M153" s="5" t="s">
        <v>21</v>
      </c>
    </row>
    <row r="154" spans="1:14">
      <c r="A154" s="5" t="s">
        <v>224</v>
      </c>
      <c r="B154" s="5">
        <v>75</v>
      </c>
      <c r="C154" s="5" t="s">
        <v>15</v>
      </c>
      <c r="D154" s="5" t="s">
        <v>104</v>
      </c>
      <c r="E154" s="5" t="s">
        <v>17</v>
      </c>
      <c r="F154" s="5" t="s">
        <v>18</v>
      </c>
      <c r="G154" s="5" t="s">
        <v>32</v>
      </c>
      <c r="H154" s="5">
        <v>318</v>
      </c>
      <c r="I154" s="5">
        <v>3</v>
      </c>
      <c r="J154" s="5">
        <v>321</v>
      </c>
      <c r="K154" s="5" t="s">
        <v>225</v>
      </c>
      <c r="M154" s="5" t="s">
        <v>29</v>
      </c>
      <c r="N154" s="5" t="s">
        <v>22</v>
      </c>
    </row>
    <row r="155" spans="1:13">
      <c r="A155" s="5" t="s">
        <v>226</v>
      </c>
      <c r="B155" s="5">
        <v>29</v>
      </c>
      <c r="C155" s="5" t="s">
        <v>34</v>
      </c>
      <c r="D155" s="5" t="s">
        <v>16</v>
      </c>
      <c r="E155" s="5" t="s">
        <v>17</v>
      </c>
      <c r="F155" s="5" t="s">
        <v>157</v>
      </c>
      <c r="G155" s="5" t="s">
        <v>52</v>
      </c>
      <c r="H155" s="5">
        <v>694</v>
      </c>
      <c r="I155" s="5">
        <v>545</v>
      </c>
      <c r="J155" s="5">
        <v>1239</v>
      </c>
      <c r="K155" s="5" t="s">
        <v>20</v>
      </c>
      <c r="L155" s="12" t="s">
        <v>227</v>
      </c>
      <c r="M155" s="12" t="s">
        <v>21</v>
      </c>
    </row>
    <row r="156" spans="1:13">
      <c r="A156" s="5" t="s">
        <v>228</v>
      </c>
      <c r="B156" s="5">
        <v>44</v>
      </c>
      <c r="C156" s="5" t="s">
        <v>15</v>
      </c>
      <c r="D156" s="5" t="s">
        <v>16</v>
      </c>
      <c r="E156" s="5" t="s">
        <v>17</v>
      </c>
      <c r="F156" s="5" t="s">
        <v>31</v>
      </c>
      <c r="G156" s="5" t="s">
        <v>32</v>
      </c>
      <c r="H156" s="5">
        <v>118</v>
      </c>
      <c r="I156" s="5">
        <v>0</v>
      </c>
      <c r="J156" s="5">
        <v>118</v>
      </c>
      <c r="K156" s="5">
        <v>0</v>
      </c>
      <c r="L156" s="5">
        <v>0</v>
      </c>
      <c r="M156" s="5" t="s">
        <v>21</v>
      </c>
    </row>
    <row r="157" spans="1:14">
      <c r="A157" s="5" t="s">
        <v>229</v>
      </c>
      <c r="B157" s="5">
        <v>42</v>
      </c>
      <c r="C157" s="5" t="s">
        <v>34</v>
      </c>
      <c r="D157" s="5" t="s">
        <v>16</v>
      </c>
      <c r="E157" s="5" t="s">
        <v>17</v>
      </c>
      <c r="F157" s="5" t="s">
        <v>18</v>
      </c>
      <c r="G157" s="5" t="s">
        <v>52</v>
      </c>
      <c r="H157" s="5">
        <v>2448</v>
      </c>
      <c r="I157" s="5">
        <v>0</v>
      </c>
      <c r="J157" s="5">
        <v>2448</v>
      </c>
      <c r="K157" s="5" t="s">
        <v>116</v>
      </c>
      <c r="M157" s="5" t="s">
        <v>26</v>
      </c>
      <c r="N157" s="5" t="s">
        <v>22</v>
      </c>
    </row>
    <row r="158" spans="1:13">
      <c r="A158" s="5" t="s">
        <v>230</v>
      </c>
      <c r="B158" s="5">
        <v>86</v>
      </c>
      <c r="C158" s="5" t="s">
        <v>34</v>
      </c>
      <c r="D158" s="5" t="s">
        <v>16</v>
      </c>
      <c r="E158" s="5" t="s">
        <v>17</v>
      </c>
      <c r="F158" s="5" t="s">
        <v>31</v>
      </c>
      <c r="G158" s="5" t="s">
        <v>74</v>
      </c>
      <c r="H158" s="5">
        <v>1168</v>
      </c>
      <c r="I158" s="5">
        <v>0</v>
      </c>
      <c r="J158" s="5">
        <v>1168</v>
      </c>
      <c r="K158" s="5">
        <v>0</v>
      </c>
      <c r="L158" s="5">
        <v>0</v>
      </c>
      <c r="M158" s="5" t="s">
        <v>21</v>
      </c>
    </row>
    <row r="159" spans="1:13">
      <c r="A159" s="5" t="s">
        <v>231</v>
      </c>
      <c r="B159" s="5">
        <v>67</v>
      </c>
      <c r="C159" s="5" t="s">
        <v>34</v>
      </c>
      <c r="D159" s="5" t="s">
        <v>16</v>
      </c>
      <c r="E159" s="5" t="s">
        <v>17</v>
      </c>
      <c r="F159" s="5" t="s">
        <v>18</v>
      </c>
      <c r="G159" s="5" t="s">
        <v>32</v>
      </c>
      <c r="H159" s="5">
        <v>1142</v>
      </c>
      <c r="I159" s="5">
        <v>0</v>
      </c>
      <c r="J159" s="5">
        <v>1142</v>
      </c>
      <c r="K159" s="5">
        <v>0</v>
      </c>
      <c r="L159" s="5">
        <v>0</v>
      </c>
      <c r="M159" s="5" t="s">
        <v>29</v>
      </c>
    </row>
    <row r="160" spans="1:13">
      <c r="A160" s="5" t="s">
        <v>232</v>
      </c>
      <c r="B160" s="5">
        <v>78</v>
      </c>
      <c r="C160" s="5" t="s">
        <v>15</v>
      </c>
      <c r="D160" s="5" t="s">
        <v>76</v>
      </c>
      <c r="E160" s="5" t="s">
        <v>17</v>
      </c>
      <c r="F160" s="5" t="s">
        <v>18</v>
      </c>
      <c r="G160" s="5" t="s">
        <v>67</v>
      </c>
      <c r="H160" s="5">
        <v>200</v>
      </c>
      <c r="I160" s="5">
        <v>0</v>
      </c>
      <c r="J160" s="5">
        <v>200</v>
      </c>
      <c r="K160" s="5" t="s">
        <v>20</v>
      </c>
      <c r="L160" s="5">
        <v>0</v>
      </c>
      <c r="M160" s="5" t="s">
        <v>21</v>
      </c>
    </row>
    <row r="161" spans="1:13">
      <c r="A161" s="5" t="s">
        <v>233</v>
      </c>
      <c r="B161" s="5">
        <v>49</v>
      </c>
      <c r="C161" s="5" t="s">
        <v>15</v>
      </c>
      <c r="D161" s="5" t="s">
        <v>16</v>
      </c>
      <c r="E161" s="5" t="s">
        <v>17</v>
      </c>
      <c r="F161" s="5" t="s">
        <v>55</v>
      </c>
      <c r="G161" s="5" t="s">
        <v>74</v>
      </c>
      <c r="H161" s="5">
        <v>688</v>
      </c>
      <c r="I161" s="5">
        <v>0</v>
      </c>
      <c r="J161" s="5">
        <v>688</v>
      </c>
      <c r="K161" s="5" t="s">
        <v>20</v>
      </c>
      <c r="L161" s="5">
        <v>0</v>
      </c>
      <c r="M161" s="5" t="s">
        <v>26</v>
      </c>
    </row>
    <row r="162" spans="1:13">
      <c r="A162" s="5" t="s">
        <v>234</v>
      </c>
      <c r="B162" s="5">
        <v>68</v>
      </c>
      <c r="C162" s="5" t="s">
        <v>15</v>
      </c>
      <c r="D162" s="5" t="s">
        <v>66</v>
      </c>
      <c r="E162" s="5" t="s">
        <v>17</v>
      </c>
      <c r="F162" s="5" t="s">
        <v>51</v>
      </c>
      <c r="G162" s="5" t="s">
        <v>52</v>
      </c>
      <c r="H162" s="5">
        <v>513</v>
      </c>
      <c r="I162" s="5">
        <v>0</v>
      </c>
      <c r="J162" s="5">
        <v>513</v>
      </c>
      <c r="K162" s="5" t="s">
        <v>20</v>
      </c>
      <c r="L162" s="5">
        <v>0</v>
      </c>
      <c r="M162" s="5" t="s">
        <v>21</v>
      </c>
    </row>
    <row r="163" spans="1:13">
      <c r="A163" s="5" t="s">
        <v>235</v>
      </c>
      <c r="B163" s="5">
        <v>56</v>
      </c>
      <c r="C163" s="5" t="s">
        <v>15</v>
      </c>
      <c r="D163" s="5" t="s">
        <v>76</v>
      </c>
      <c r="E163" s="5" t="s">
        <v>17</v>
      </c>
      <c r="F163" s="5" t="s">
        <v>18</v>
      </c>
      <c r="G163" s="5" t="s">
        <v>19</v>
      </c>
      <c r="H163" s="5">
        <v>567</v>
      </c>
      <c r="I163" s="5">
        <v>0</v>
      </c>
      <c r="J163" s="5">
        <v>567</v>
      </c>
      <c r="K163" s="5" t="s">
        <v>20</v>
      </c>
      <c r="L163" s="5">
        <v>0</v>
      </c>
      <c r="M163" s="5" t="s">
        <v>21</v>
      </c>
    </row>
    <row r="164" spans="1:14">
      <c r="A164" s="5" t="s">
        <v>236</v>
      </c>
      <c r="B164" s="5">
        <v>67</v>
      </c>
      <c r="C164" s="5" t="s">
        <v>34</v>
      </c>
      <c r="D164" s="5" t="s">
        <v>16</v>
      </c>
      <c r="E164" s="5" t="s">
        <v>17</v>
      </c>
      <c r="F164" s="5" t="s">
        <v>31</v>
      </c>
      <c r="G164" s="5" t="s">
        <v>32</v>
      </c>
      <c r="H164" s="5">
        <v>995</v>
      </c>
      <c r="I164" s="5">
        <v>62</v>
      </c>
      <c r="J164" s="5">
        <v>1057</v>
      </c>
      <c r="K164" s="5">
        <v>0</v>
      </c>
      <c r="M164" s="5" t="s">
        <v>29</v>
      </c>
      <c r="N164" s="5" t="s">
        <v>29</v>
      </c>
    </row>
    <row r="165" spans="1:13">
      <c r="A165" s="5" t="s">
        <v>237</v>
      </c>
      <c r="B165" s="5">
        <v>53</v>
      </c>
      <c r="C165" s="5" t="s">
        <v>15</v>
      </c>
      <c r="D165" s="5" t="s">
        <v>16</v>
      </c>
      <c r="E165" s="5" t="s">
        <v>17</v>
      </c>
      <c r="F165" s="5" t="s">
        <v>18</v>
      </c>
      <c r="G165" s="5" t="s">
        <v>32</v>
      </c>
      <c r="H165" s="5">
        <v>1991</v>
      </c>
      <c r="I165" s="5">
        <v>0</v>
      </c>
      <c r="J165" s="5">
        <v>1991</v>
      </c>
      <c r="K165" s="5">
        <v>0</v>
      </c>
      <c r="L165" s="5">
        <v>0</v>
      </c>
      <c r="M165" s="5" t="s">
        <v>26</v>
      </c>
    </row>
    <row r="166" spans="1:13">
      <c r="A166" s="5" t="s">
        <v>238</v>
      </c>
      <c r="B166" s="5">
        <v>53</v>
      </c>
      <c r="C166" s="5" t="s">
        <v>15</v>
      </c>
      <c r="D166" s="5" t="s">
        <v>16</v>
      </c>
      <c r="E166" s="5" t="s">
        <v>17</v>
      </c>
      <c r="F166" s="5" t="s">
        <v>51</v>
      </c>
      <c r="G166" s="5" t="s">
        <v>52</v>
      </c>
      <c r="H166" s="5">
        <v>695</v>
      </c>
      <c r="I166" s="5">
        <v>0</v>
      </c>
      <c r="J166" s="5">
        <v>695</v>
      </c>
      <c r="K166" s="5" t="s">
        <v>20</v>
      </c>
      <c r="L166" s="5">
        <v>0</v>
      </c>
      <c r="M166" s="5" t="s">
        <v>21</v>
      </c>
    </row>
    <row r="167" spans="1:13">
      <c r="A167" s="5" t="s">
        <v>239</v>
      </c>
      <c r="B167" s="5">
        <v>73</v>
      </c>
      <c r="C167" s="5" t="s">
        <v>15</v>
      </c>
      <c r="D167" s="5" t="s">
        <v>16</v>
      </c>
      <c r="E167" s="5" t="s">
        <v>17</v>
      </c>
      <c r="F167" s="5" t="s">
        <v>31</v>
      </c>
      <c r="G167" s="5" t="s">
        <v>52</v>
      </c>
      <c r="H167" s="5">
        <v>2575</v>
      </c>
      <c r="I167" s="5">
        <v>0</v>
      </c>
      <c r="J167" s="5">
        <v>2575</v>
      </c>
      <c r="K167" s="5">
        <v>0</v>
      </c>
      <c r="L167" s="5">
        <v>0</v>
      </c>
      <c r="M167" s="5" t="s">
        <v>21</v>
      </c>
    </row>
    <row r="168" spans="1:14">
      <c r="A168" s="5" t="s">
        <v>240</v>
      </c>
      <c r="B168" s="5">
        <v>52</v>
      </c>
      <c r="C168" s="5" t="s">
        <v>34</v>
      </c>
      <c r="D168" s="5" t="s">
        <v>16</v>
      </c>
      <c r="E168" s="5" t="s">
        <v>17</v>
      </c>
      <c r="F168" s="5" t="s">
        <v>157</v>
      </c>
      <c r="G168" s="5" t="s">
        <v>83</v>
      </c>
      <c r="H168" s="5">
        <v>1970</v>
      </c>
      <c r="I168" s="5">
        <v>1892</v>
      </c>
      <c r="J168" s="5">
        <v>3862</v>
      </c>
      <c r="K168" s="5" t="s">
        <v>49</v>
      </c>
      <c r="L168" s="5" t="s">
        <v>111</v>
      </c>
      <c r="M168" s="5" t="s">
        <v>21</v>
      </c>
      <c r="N168" s="5" t="s">
        <v>111</v>
      </c>
    </row>
    <row r="169" spans="1:14">
      <c r="A169" s="5" t="s">
        <v>241</v>
      </c>
      <c r="B169" s="5">
        <v>47</v>
      </c>
      <c r="C169" s="5" t="s">
        <v>15</v>
      </c>
      <c r="D169" s="5" t="s">
        <v>16</v>
      </c>
      <c r="E169" s="5" t="s">
        <v>17</v>
      </c>
      <c r="F169" s="5" t="s">
        <v>18</v>
      </c>
      <c r="G169" s="5" t="s">
        <v>242</v>
      </c>
      <c r="H169" s="5">
        <v>325</v>
      </c>
      <c r="I169" s="5">
        <v>0</v>
      </c>
      <c r="J169" s="5">
        <v>325</v>
      </c>
      <c r="K169" s="5">
        <v>0</v>
      </c>
      <c r="M169" s="5" t="s">
        <v>29</v>
      </c>
      <c r="N169" s="5" t="s">
        <v>29</v>
      </c>
    </row>
    <row r="170" spans="1:14">
      <c r="A170" s="5" t="s">
        <v>243</v>
      </c>
      <c r="B170" s="5">
        <v>80</v>
      </c>
      <c r="C170" s="5" t="s">
        <v>15</v>
      </c>
      <c r="D170" s="5" t="s">
        <v>16</v>
      </c>
      <c r="E170" s="5" t="s">
        <v>17</v>
      </c>
      <c r="F170" s="5" t="s">
        <v>55</v>
      </c>
      <c r="G170" s="5" t="s">
        <v>52</v>
      </c>
      <c r="H170" s="5">
        <v>262</v>
      </c>
      <c r="I170" s="5">
        <v>154</v>
      </c>
      <c r="J170" s="5">
        <v>416</v>
      </c>
      <c r="K170" s="5">
        <v>0</v>
      </c>
      <c r="M170" s="5" t="s">
        <v>21</v>
      </c>
      <c r="N170" s="5" t="s">
        <v>29</v>
      </c>
    </row>
    <row r="171" spans="1:13">
      <c r="A171" s="5" t="s">
        <v>244</v>
      </c>
      <c r="B171" s="5">
        <v>73</v>
      </c>
      <c r="C171" s="5" t="s">
        <v>34</v>
      </c>
      <c r="D171" s="5" t="s">
        <v>16</v>
      </c>
      <c r="E171" s="5" t="s">
        <v>17</v>
      </c>
      <c r="F171" s="5" t="s">
        <v>18</v>
      </c>
      <c r="G171" s="5" t="s">
        <v>57</v>
      </c>
      <c r="H171" s="5">
        <v>193</v>
      </c>
      <c r="I171" s="5">
        <v>0</v>
      </c>
      <c r="J171" s="5">
        <v>193</v>
      </c>
      <c r="K171" s="5">
        <v>0</v>
      </c>
      <c r="L171" s="5">
        <v>0</v>
      </c>
      <c r="M171" s="5" t="s">
        <v>29</v>
      </c>
    </row>
    <row r="172" spans="1:14">
      <c r="A172" s="5" t="s">
        <v>245</v>
      </c>
      <c r="B172" s="5">
        <v>41</v>
      </c>
      <c r="C172" s="5" t="s">
        <v>15</v>
      </c>
      <c r="D172" s="5" t="s">
        <v>76</v>
      </c>
      <c r="E172" s="5" t="s">
        <v>17</v>
      </c>
      <c r="F172" s="5" t="s">
        <v>18</v>
      </c>
      <c r="G172" s="5" t="s">
        <v>19</v>
      </c>
      <c r="H172" s="5">
        <v>224</v>
      </c>
      <c r="I172" s="5">
        <v>124</v>
      </c>
      <c r="J172" s="5">
        <v>348</v>
      </c>
      <c r="K172" s="5" t="s">
        <v>20</v>
      </c>
      <c r="M172" s="5" t="s">
        <v>29</v>
      </c>
      <c r="N172" s="5" t="s">
        <v>22</v>
      </c>
    </row>
    <row r="173" spans="1:13">
      <c r="A173" s="5" t="s">
        <v>246</v>
      </c>
      <c r="B173" s="5">
        <v>72</v>
      </c>
      <c r="C173" s="5" t="s">
        <v>15</v>
      </c>
      <c r="D173" s="5" t="s">
        <v>16</v>
      </c>
      <c r="E173" s="5" t="s">
        <v>17</v>
      </c>
      <c r="F173" s="5" t="s">
        <v>18</v>
      </c>
      <c r="G173" s="5" t="s">
        <v>32</v>
      </c>
      <c r="H173" s="5">
        <v>550</v>
      </c>
      <c r="I173" s="5">
        <v>0</v>
      </c>
      <c r="J173" s="5">
        <v>550</v>
      </c>
      <c r="K173" s="5">
        <v>0</v>
      </c>
      <c r="L173" s="5">
        <v>0</v>
      </c>
      <c r="M173" s="5" t="s">
        <v>29</v>
      </c>
    </row>
    <row r="174" spans="1:14">
      <c r="A174" s="5" t="s">
        <v>247</v>
      </c>
      <c r="B174" s="5">
        <v>38</v>
      </c>
      <c r="C174" s="5" t="s">
        <v>15</v>
      </c>
      <c r="D174" s="5" t="s">
        <v>76</v>
      </c>
      <c r="E174" s="5" t="s">
        <v>17</v>
      </c>
      <c r="F174" s="5" t="s">
        <v>18</v>
      </c>
      <c r="G174" s="5" t="s">
        <v>52</v>
      </c>
      <c r="H174" s="5">
        <v>2694</v>
      </c>
      <c r="I174" s="5">
        <v>2577</v>
      </c>
      <c r="J174" s="5">
        <v>5271</v>
      </c>
      <c r="K174" s="5" t="s">
        <v>248</v>
      </c>
      <c r="M174" s="5" t="s">
        <v>21</v>
      </c>
      <c r="N174" s="5" t="s">
        <v>22</v>
      </c>
    </row>
    <row r="175" spans="1:13">
      <c r="A175" s="5" t="s">
        <v>249</v>
      </c>
      <c r="B175" s="5">
        <v>65</v>
      </c>
      <c r="C175" s="5" t="s">
        <v>15</v>
      </c>
      <c r="D175" s="5" t="s">
        <v>16</v>
      </c>
      <c r="E175" s="5" t="s">
        <v>17</v>
      </c>
      <c r="F175" s="5" t="s">
        <v>18</v>
      </c>
      <c r="G175" s="5" t="s">
        <v>32</v>
      </c>
      <c r="H175" s="5">
        <v>2599</v>
      </c>
      <c r="I175" s="5">
        <v>2491</v>
      </c>
      <c r="J175" s="5">
        <v>5090</v>
      </c>
      <c r="K175" s="5" t="s">
        <v>63</v>
      </c>
      <c r="M175" s="5" t="s">
        <v>29</v>
      </c>
    </row>
    <row r="176" spans="1:13">
      <c r="A176" s="5" t="s">
        <v>250</v>
      </c>
      <c r="B176" s="5">
        <v>60</v>
      </c>
      <c r="C176" s="5" t="s">
        <v>34</v>
      </c>
      <c r="D176" s="5" t="s">
        <v>16</v>
      </c>
      <c r="E176" s="5" t="s">
        <v>17</v>
      </c>
      <c r="F176" s="5" t="s">
        <v>181</v>
      </c>
      <c r="G176" s="5" t="s">
        <v>32</v>
      </c>
      <c r="H176" s="5">
        <v>1366</v>
      </c>
      <c r="I176" s="5">
        <v>0</v>
      </c>
      <c r="J176" s="5">
        <v>1366</v>
      </c>
      <c r="K176" s="5" t="s">
        <v>58</v>
      </c>
      <c r="L176" s="5">
        <v>0</v>
      </c>
      <c r="M176" s="5" t="s">
        <v>26</v>
      </c>
    </row>
    <row r="177" spans="1:13">
      <c r="A177" s="5" t="s">
        <v>251</v>
      </c>
      <c r="B177" s="5">
        <v>89</v>
      </c>
      <c r="C177" s="5" t="s">
        <v>34</v>
      </c>
      <c r="D177" s="5" t="s">
        <v>16</v>
      </c>
      <c r="E177" s="5" t="s">
        <v>17</v>
      </c>
      <c r="F177" s="5" t="s">
        <v>51</v>
      </c>
      <c r="G177" s="5" t="s">
        <v>52</v>
      </c>
      <c r="H177" s="5">
        <v>24</v>
      </c>
      <c r="I177" s="5">
        <v>0</v>
      </c>
      <c r="J177" s="5">
        <v>24</v>
      </c>
      <c r="K177" s="5">
        <v>0</v>
      </c>
      <c r="L177" s="5">
        <v>0</v>
      </c>
      <c r="M177" s="5" t="s">
        <v>21</v>
      </c>
    </row>
    <row r="178" spans="1:13">
      <c r="A178" s="5" t="s">
        <v>252</v>
      </c>
      <c r="B178" s="5">
        <v>57</v>
      </c>
      <c r="C178" s="5" t="s">
        <v>34</v>
      </c>
      <c r="D178" s="5" t="s">
        <v>16</v>
      </c>
      <c r="E178" s="5" t="s">
        <v>17</v>
      </c>
      <c r="F178" s="5" t="s">
        <v>51</v>
      </c>
      <c r="G178" s="5" t="s">
        <v>32</v>
      </c>
      <c r="H178" s="5">
        <v>1845</v>
      </c>
      <c r="I178" s="5">
        <v>0</v>
      </c>
      <c r="J178" s="5">
        <v>1845</v>
      </c>
      <c r="K178" s="5" t="s">
        <v>49</v>
      </c>
      <c r="L178" s="5">
        <v>0</v>
      </c>
      <c r="M178" s="5" t="s">
        <v>26</v>
      </c>
    </row>
    <row r="179" spans="1:13">
      <c r="A179" s="5" t="s">
        <v>253</v>
      </c>
      <c r="B179" s="5">
        <v>57</v>
      </c>
      <c r="C179" s="5" t="s">
        <v>15</v>
      </c>
      <c r="D179" s="5" t="s">
        <v>16</v>
      </c>
      <c r="E179" s="5" t="s">
        <v>17</v>
      </c>
      <c r="F179" s="5" t="s">
        <v>18</v>
      </c>
      <c r="G179" s="5" t="s">
        <v>32</v>
      </c>
      <c r="H179" s="5">
        <v>1627</v>
      </c>
      <c r="I179" s="5">
        <v>0</v>
      </c>
      <c r="J179" s="5">
        <v>1627</v>
      </c>
      <c r="K179" s="5" t="s">
        <v>20</v>
      </c>
      <c r="L179" s="5">
        <v>0</v>
      </c>
      <c r="M179" s="5" t="s">
        <v>21</v>
      </c>
    </row>
    <row r="180" spans="1:13">
      <c r="A180" s="5" t="s">
        <v>254</v>
      </c>
      <c r="B180" s="5">
        <v>72</v>
      </c>
      <c r="C180" s="5" t="s">
        <v>34</v>
      </c>
      <c r="D180" s="5" t="s">
        <v>16</v>
      </c>
      <c r="E180" s="5" t="s">
        <v>17</v>
      </c>
      <c r="F180" s="5" t="s">
        <v>24</v>
      </c>
      <c r="G180" s="5" t="s">
        <v>52</v>
      </c>
      <c r="H180" s="5">
        <v>897</v>
      </c>
      <c r="I180" s="5">
        <v>0</v>
      </c>
      <c r="J180" s="5">
        <v>897</v>
      </c>
      <c r="K180" s="5" t="s">
        <v>20</v>
      </c>
      <c r="L180" s="5">
        <v>0</v>
      </c>
      <c r="M180" s="5" t="s">
        <v>21</v>
      </c>
    </row>
    <row r="181" spans="1:13">
      <c r="A181" s="5" t="s">
        <v>255</v>
      </c>
      <c r="B181" s="5">
        <v>31</v>
      </c>
      <c r="C181" s="5" t="s">
        <v>15</v>
      </c>
      <c r="D181" s="5" t="s">
        <v>16</v>
      </c>
      <c r="E181" s="5" t="s">
        <v>17</v>
      </c>
      <c r="F181" s="5" t="s">
        <v>157</v>
      </c>
      <c r="G181" s="5" t="s">
        <v>32</v>
      </c>
      <c r="H181" s="5">
        <v>320</v>
      </c>
      <c r="I181" s="5">
        <v>0</v>
      </c>
      <c r="J181" s="5">
        <v>320</v>
      </c>
      <c r="K181" s="5">
        <v>0</v>
      </c>
      <c r="L181" s="5">
        <v>0</v>
      </c>
      <c r="M181" s="5" t="s">
        <v>26</v>
      </c>
    </row>
    <row r="182" spans="1:14">
      <c r="A182" s="5" t="s">
        <v>256</v>
      </c>
      <c r="B182" s="5">
        <v>73</v>
      </c>
      <c r="C182" s="5" t="s">
        <v>15</v>
      </c>
      <c r="D182" s="5" t="s">
        <v>16</v>
      </c>
      <c r="E182" s="5" t="s">
        <v>17</v>
      </c>
      <c r="F182" s="5" t="s">
        <v>18</v>
      </c>
      <c r="G182" s="5" t="s">
        <v>19</v>
      </c>
      <c r="H182" s="5">
        <v>413</v>
      </c>
      <c r="I182" s="5">
        <v>0</v>
      </c>
      <c r="J182" s="5">
        <v>413</v>
      </c>
      <c r="K182" s="5" t="s">
        <v>20</v>
      </c>
      <c r="M182" s="5" t="s">
        <v>26</v>
      </c>
      <c r="N182" s="5" t="s">
        <v>22</v>
      </c>
    </row>
    <row r="183" spans="1:13">
      <c r="A183" s="5" t="s">
        <v>257</v>
      </c>
      <c r="B183" s="5">
        <v>59</v>
      </c>
      <c r="C183" s="5" t="s">
        <v>15</v>
      </c>
      <c r="D183" s="5" t="s">
        <v>16</v>
      </c>
      <c r="E183" s="5" t="s">
        <v>17</v>
      </c>
      <c r="F183" s="5" t="s">
        <v>18</v>
      </c>
      <c r="G183" s="5" t="s">
        <v>32</v>
      </c>
      <c r="H183" s="5">
        <v>2464</v>
      </c>
      <c r="I183" s="5">
        <v>0</v>
      </c>
      <c r="J183" s="5">
        <v>2464</v>
      </c>
      <c r="K183" s="5">
        <v>0</v>
      </c>
      <c r="L183" s="5">
        <v>0</v>
      </c>
      <c r="M183" s="5" t="s">
        <v>29</v>
      </c>
    </row>
    <row r="184" spans="1:14">
      <c r="A184" s="5" t="s">
        <v>258</v>
      </c>
      <c r="B184" s="5">
        <v>53</v>
      </c>
      <c r="C184" s="5" t="s">
        <v>15</v>
      </c>
      <c r="D184" s="5" t="s">
        <v>16</v>
      </c>
      <c r="E184" s="5" t="s">
        <v>105</v>
      </c>
      <c r="F184" s="5" t="s">
        <v>18</v>
      </c>
      <c r="G184" s="5" t="s">
        <v>32</v>
      </c>
      <c r="I184" s="5">
        <v>923</v>
      </c>
      <c r="J184" s="5">
        <v>923</v>
      </c>
      <c r="K184" s="5" t="s">
        <v>20</v>
      </c>
      <c r="M184" s="5" t="s">
        <v>21</v>
      </c>
      <c r="N184" s="5" t="s">
        <v>22</v>
      </c>
    </row>
    <row r="185" spans="1:13">
      <c r="A185" s="5" t="s">
        <v>259</v>
      </c>
      <c r="B185" s="5">
        <v>90</v>
      </c>
      <c r="C185" s="5" t="s">
        <v>34</v>
      </c>
      <c r="D185" s="5" t="s">
        <v>16</v>
      </c>
      <c r="E185" s="5" t="s">
        <v>105</v>
      </c>
      <c r="F185" s="5" t="s">
        <v>55</v>
      </c>
      <c r="G185" s="5" t="s">
        <v>52</v>
      </c>
      <c r="I185" s="5">
        <v>0</v>
      </c>
      <c r="J185" s="5">
        <v>0</v>
      </c>
      <c r="K185" s="5">
        <v>0</v>
      </c>
      <c r="L185" s="5">
        <v>0</v>
      </c>
      <c r="M185" s="5" t="s">
        <v>29</v>
      </c>
    </row>
    <row r="186" spans="1:14">
      <c r="A186" s="5" t="s">
        <v>260</v>
      </c>
      <c r="B186" s="5">
        <v>49</v>
      </c>
      <c r="C186" s="5" t="s">
        <v>15</v>
      </c>
      <c r="D186" s="5" t="s">
        <v>16</v>
      </c>
      <c r="E186" s="5" t="s">
        <v>105</v>
      </c>
      <c r="F186" s="5" t="s">
        <v>18</v>
      </c>
      <c r="G186" s="5" t="s">
        <v>19</v>
      </c>
      <c r="I186" s="5">
        <v>471</v>
      </c>
      <c r="J186" s="5">
        <v>471</v>
      </c>
      <c r="K186" s="5">
        <v>0</v>
      </c>
      <c r="M186" s="5" t="s">
        <v>21</v>
      </c>
      <c r="N186" s="5" t="s">
        <v>29</v>
      </c>
    </row>
    <row r="187" spans="1:14">
      <c r="A187" s="5" t="s">
        <v>261</v>
      </c>
      <c r="B187" s="5">
        <v>84</v>
      </c>
      <c r="C187" s="5" t="s">
        <v>15</v>
      </c>
      <c r="D187" s="5" t="s">
        <v>16</v>
      </c>
      <c r="E187" s="5" t="s">
        <v>105</v>
      </c>
      <c r="F187" s="5" t="s">
        <v>131</v>
      </c>
      <c r="G187" s="5" t="s">
        <v>52</v>
      </c>
      <c r="I187" s="5">
        <v>98</v>
      </c>
      <c r="J187" s="5">
        <v>98</v>
      </c>
      <c r="K187" s="5">
        <v>0</v>
      </c>
      <c r="M187" s="5" t="s">
        <v>29</v>
      </c>
      <c r="N187" s="5" t="s">
        <v>29</v>
      </c>
    </row>
    <row r="188" spans="1:13">
      <c r="A188" s="5" t="s">
        <v>262</v>
      </c>
      <c r="B188" s="5">
        <v>53</v>
      </c>
      <c r="C188" s="5" t="s">
        <v>15</v>
      </c>
      <c r="D188" s="5" t="s">
        <v>16</v>
      </c>
      <c r="E188" s="5" t="s">
        <v>105</v>
      </c>
      <c r="F188" s="5" t="s">
        <v>18</v>
      </c>
      <c r="G188" s="5" t="s">
        <v>32</v>
      </c>
      <c r="I188" s="5">
        <v>2515</v>
      </c>
      <c r="J188" s="5">
        <v>2515</v>
      </c>
      <c r="K188" s="5" t="s">
        <v>116</v>
      </c>
      <c r="M188" s="5" t="s">
        <v>26</v>
      </c>
    </row>
    <row r="189" spans="1:14">
      <c r="A189" s="5" t="s">
        <v>263</v>
      </c>
      <c r="B189" s="5">
        <v>61</v>
      </c>
      <c r="C189" s="5" t="s">
        <v>15</v>
      </c>
      <c r="D189" s="5" t="s">
        <v>16</v>
      </c>
      <c r="E189" s="5" t="s">
        <v>105</v>
      </c>
      <c r="F189" s="5" t="s">
        <v>31</v>
      </c>
      <c r="G189" s="5" t="s">
        <v>32</v>
      </c>
      <c r="I189" s="5">
        <v>1495</v>
      </c>
      <c r="J189" s="5">
        <v>1495</v>
      </c>
      <c r="K189" s="5">
        <v>0</v>
      </c>
      <c r="M189" s="5" t="s">
        <v>29</v>
      </c>
      <c r="N189" s="5" t="s">
        <v>29</v>
      </c>
    </row>
    <row r="190" spans="1:14">
      <c r="A190" s="5" t="s">
        <v>264</v>
      </c>
      <c r="B190" s="5">
        <v>55</v>
      </c>
      <c r="C190" s="5" t="s">
        <v>34</v>
      </c>
      <c r="D190" s="5" t="s">
        <v>16</v>
      </c>
      <c r="E190" s="5" t="s">
        <v>105</v>
      </c>
      <c r="F190" s="5" t="s">
        <v>55</v>
      </c>
      <c r="G190" s="5" t="s">
        <v>32</v>
      </c>
      <c r="I190" s="5">
        <v>1108</v>
      </c>
      <c r="J190" s="5">
        <v>1108</v>
      </c>
      <c r="K190" s="5" t="s">
        <v>20</v>
      </c>
      <c r="M190" s="5" t="s">
        <v>21</v>
      </c>
      <c r="N190" s="5" t="s">
        <v>29</v>
      </c>
    </row>
    <row r="191" spans="1:14">
      <c r="A191" s="5" t="s">
        <v>265</v>
      </c>
      <c r="B191" s="5">
        <v>63</v>
      </c>
      <c r="C191" s="5" t="s">
        <v>34</v>
      </c>
      <c r="D191" s="5" t="s">
        <v>16</v>
      </c>
      <c r="E191" s="5" t="s">
        <v>105</v>
      </c>
      <c r="F191" s="5" t="s">
        <v>18</v>
      </c>
      <c r="G191" s="5" t="s">
        <v>32</v>
      </c>
      <c r="I191" s="5">
        <v>3740</v>
      </c>
      <c r="J191" s="5">
        <v>3740</v>
      </c>
      <c r="K191" s="5">
        <v>0</v>
      </c>
      <c r="M191" s="5" t="s">
        <v>29</v>
      </c>
      <c r="N191" s="5" t="s">
        <v>29</v>
      </c>
    </row>
    <row r="192" spans="1:14">
      <c r="A192" s="5" t="s">
        <v>266</v>
      </c>
      <c r="B192" s="5">
        <v>60</v>
      </c>
      <c r="C192" s="5" t="s">
        <v>34</v>
      </c>
      <c r="D192" s="5" t="s">
        <v>16</v>
      </c>
      <c r="E192" s="5" t="s">
        <v>105</v>
      </c>
      <c r="F192" s="5" t="s">
        <v>55</v>
      </c>
      <c r="G192" s="5" t="s">
        <v>52</v>
      </c>
      <c r="I192" s="5">
        <v>1456</v>
      </c>
      <c r="J192" s="5">
        <v>1456</v>
      </c>
      <c r="K192" s="5">
        <v>0</v>
      </c>
      <c r="M192" s="5" t="s">
        <v>21</v>
      </c>
      <c r="N192" s="5" t="s">
        <v>29</v>
      </c>
    </row>
    <row r="193" spans="1:13">
      <c r="A193" s="5" t="s">
        <v>267</v>
      </c>
      <c r="B193" s="5">
        <v>78</v>
      </c>
      <c r="C193" s="5" t="s">
        <v>34</v>
      </c>
      <c r="D193" s="5" t="s">
        <v>16</v>
      </c>
      <c r="E193" s="5" t="s">
        <v>105</v>
      </c>
      <c r="F193" s="5" t="s">
        <v>31</v>
      </c>
      <c r="G193" s="5" t="s">
        <v>32</v>
      </c>
      <c r="I193" s="5">
        <v>2586</v>
      </c>
      <c r="J193" s="5">
        <v>2586</v>
      </c>
      <c r="K193" s="5">
        <v>0</v>
      </c>
      <c r="M193" s="5" t="s">
        <v>26</v>
      </c>
    </row>
    <row r="194" spans="1:14">
      <c r="A194" s="5" t="s">
        <v>268</v>
      </c>
      <c r="B194" s="5">
        <v>49</v>
      </c>
      <c r="C194" s="5" t="s">
        <v>34</v>
      </c>
      <c r="D194" s="5" t="s">
        <v>16</v>
      </c>
      <c r="E194" s="5" t="s">
        <v>105</v>
      </c>
      <c r="F194" s="5" t="s">
        <v>18</v>
      </c>
      <c r="G194" s="5" t="s">
        <v>52</v>
      </c>
      <c r="I194" s="5">
        <v>314</v>
      </c>
      <c r="J194" s="5">
        <v>314</v>
      </c>
      <c r="K194" s="5">
        <v>0</v>
      </c>
      <c r="M194" s="5" t="s">
        <v>21</v>
      </c>
      <c r="N194" s="5" t="s">
        <v>29</v>
      </c>
    </row>
    <row r="195" spans="1:14">
      <c r="A195" s="5" t="s">
        <v>269</v>
      </c>
      <c r="B195" s="5">
        <v>53</v>
      </c>
      <c r="C195" s="5" t="s">
        <v>15</v>
      </c>
      <c r="D195" s="5" t="s">
        <v>16</v>
      </c>
      <c r="E195" s="5" t="s">
        <v>105</v>
      </c>
      <c r="F195" s="5" t="s">
        <v>18</v>
      </c>
      <c r="G195" s="5" t="s">
        <v>74</v>
      </c>
      <c r="I195" s="5">
        <v>600</v>
      </c>
      <c r="J195" s="5">
        <v>600</v>
      </c>
      <c r="K195" s="5">
        <v>0</v>
      </c>
      <c r="M195" s="5" t="s">
        <v>21</v>
      </c>
      <c r="N195" s="5" t="s">
        <v>29</v>
      </c>
    </row>
    <row r="196" spans="1:14">
      <c r="A196" s="5" t="s">
        <v>270</v>
      </c>
      <c r="B196" s="5">
        <v>66</v>
      </c>
      <c r="C196" s="5" t="s">
        <v>15</v>
      </c>
      <c r="D196" s="5" t="s">
        <v>16</v>
      </c>
      <c r="E196" s="5" t="s">
        <v>105</v>
      </c>
      <c r="F196" s="5" t="s">
        <v>18</v>
      </c>
      <c r="G196" s="5" t="s">
        <v>32</v>
      </c>
      <c r="I196" s="5">
        <v>2085</v>
      </c>
      <c r="J196" s="5">
        <v>2085</v>
      </c>
      <c r="K196" s="5">
        <v>0</v>
      </c>
      <c r="M196" s="5" t="s">
        <v>21</v>
      </c>
      <c r="N196" s="5" t="s">
        <v>29</v>
      </c>
    </row>
    <row r="197" spans="1:14">
      <c r="A197" s="5" t="s">
        <v>271</v>
      </c>
      <c r="B197" s="5">
        <v>64</v>
      </c>
      <c r="C197" s="5" t="s">
        <v>15</v>
      </c>
      <c r="D197" s="5" t="s">
        <v>16</v>
      </c>
      <c r="E197" s="5" t="s">
        <v>105</v>
      </c>
      <c r="F197" s="5" t="s">
        <v>18</v>
      </c>
      <c r="G197" s="5" t="s">
        <v>19</v>
      </c>
      <c r="I197" s="5">
        <v>3080</v>
      </c>
      <c r="J197" s="5">
        <v>3080</v>
      </c>
      <c r="K197" s="5" t="s">
        <v>63</v>
      </c>
      <c r="M197" s="5" t="s">
        <v>21</v>
      </c>
      <c r="N197" s="5" t="s">
        <v>29</v>
      </c>
    </row>
    <row r="198" spans="1:14">
      <c r="A198" s="5" t="s">
        <v>272</v>
      </c>
      <c r="B198" s="5">
        <v>69</v>
      </c>
      <c r="C198" s="5" t="s">
        <v>15</v>
      </c>
      <c r="D198" s="5" t="s">
        <v>66</v>
      </c>
      <c r="E198" s="5" t="s">
        <v>105</v>
      </c>
      <c r="F198" s="5" t="s">
        <v>18</v>
      </c>
      <c r="G198" s="5" t="s">
        <v>19</v>
      </c>
      <c r="I198" s="5">
        <v>499</v>
      </c>
      <c r="J198" s="5">
        <v>499</v>
      </c>
      <c r="K198" s="5">
        <v>0</v>
      </c>
      <c r="M198" s="5" t="s">
        <v>29</v>
      </c>
      <c r="N198" s="5" t="s">
        <v>29</v>
      </c>
    </row>
    <row r="199" spans="1:14">
      <c r="A199" s="5" t="s">
        <v>273</v>
      </c>
      <c r="B199" s="5">
        <v>60</v>
      </c>
      <c r="C199" s="5" t="s">
        <v>34</v>
      </c>
      <c r="D199" s="5" t="s">
        <v>16</v>
      </c>
      <c r="E199" s="5" t="s">
        <v>105</v>
      </c>
      <c r="F199" s="5" t="s">
        <v>51</v>
      </c>
      <c r="G199" s="5" t="s">
        <v>74</v>
      </c>
      <c r="I199" s="5">
        <v>541</v>
      </c>
      <c r="J199" s="5">
        <v>541</v>
      </c>
      <c r="K199" s="5" t="s">
        <v>274</v>
      </c>
      <c r="M199" s="5" t="s">
        <v>21</v>
      </c>
      <c r="N199" s="5" t="s">
        <v>22</v>
      </c>
    </row>
    <row r="200" spans="1:14">
      <c r="A200" s="5" t="s">
        <v>275</v>
      </c>
      <c r="B200" s="5">
        <v>54</v>
      </c>
      <c r="C200" s="5" t="s">
        <v>15</v>
      </c>
      <c r="D200" s="5" t="s">
        <v>16</v>
      </c>
      <c r="E200" s="5" t="s">
        <v>105</v>
      </c>
      <c r="F200" s="5" t="s">
        <v>18</v>
      </c>
      <c r="G200" s="5" t="s">
        <v>32</v>
      </c>
      <c r="I200" s="5">
        <v>1400</v>
      </c>
      <c r="J200" s="5">
        <v>1400</v>
      </c>
      <c r="K200" s="5">
        <v>0</v>
      </c>
      <c r="M200" s="5" t="s">
        <v>29</v>
      </c>
      <c r="N200" s="5" t="s">
        <v>29</v>
      </c>
    </row>
    <row r="201" spans="1:14">
      <c r="A201" s="5" t="s">
        <v>276</v>
      </c>
      <c r="B201" s="5">
        <v>42</v>
      </c>
      <c r="C201" s="5" t="s">
        <v>34</v>
      </c>
      <c r="D201" s="5" t="s">
        <v>16</v>
      </c>
      <c r="E201" s="5" t="s">
        <v>105</v>
      </c>
      <c r="F201" s="5" t="s">
        <v>89</v>
      </c>
      <c r="G201" s="5" t="s">
        <v>67</v>
      </c>
      <c r="I201" s="5">
        <v>56</v>
      </c>
      <c r="J201" s="5">
        <v>56</v>
      </c>
      <c r="K201" s="5">
        <v>0</v>
      </c>
      <c r="M201" s="5" t="s">
        <v>29</v>
      </c>
      <c r="N201" s="5" t="s">
        <v>29</v>
      </c>
    </row>
    <row r="202" spans="1:14">
      <c r="A202" s="5" t="s">
        <v>277</v>
      </c>
      <c r="B202" s="5">
        <v>61</v>
      </c>
      <c r="C202" s="5" t="s">
        <v>34</v>
      </c>
      <c r="D202" s="5" t="s">
        <v>16</v>
      </c>
      <c r="E202" s="5" t="s">
        <v>105</v>
      </c>
      <c r="F202" s="5" t="s">
        <v>51</v>
      </c>
      <c r="G202" s="5" t="s">
        <v>67</v>
      </c>
      <c r="I202" s="5">
        <v>2381</v>
      </c>
      <c r="J202" s="5">
        <v>2381</v>
      </c>
      <c r="K202" s="5">
        <v>0</v>
      </c>
      <c r="M202" s="5" t="s">
        <v>21</v>
      </c>
      <c r="N202" s="5" t="s">
        <v>29</v>
      </c>
    </row>
    <row r="203" spans="1:14">
      <c r="A203" s="5" t="s">
        <v>278</v>
      </c>
      <c r="B203" s="5">
        <v>54</v>
      </c>
      <c r="C203" s="5" t="s">
        <v>34</v>
      </c>
      <c r="D203" s="5" t="s">
        <v>16</v>
      </c>
      <c r="E203" s="5" t="s">
        <v>105</v>
      </c>
      <c r="F203" s="5" t="s">
        <v>18</v>
      </c>
      <c r="G203" s="5" t="s">
        <v>32</v>
      </c>
      <c r="I203" s="5">
        <v>2247</v>
      </c>
      <c r="J203" s="5">
        <v>2247</v>
      </c>
      <c r="K203" s="5">
        <v>0</v>
      </c>
      <c r="M203" s="5" t="s">
        <v>29</v>
      </c>
      <c r="N203" s="5" t="s">
        <v>29</v>
      </c>
    </row>
    <row r="204" spans="1:13">
      <c r="A204" s="5" t="s">
        <v>279</v>
      </c>
      <c r="B204" s="5">
        <v>71</v>
      </c>
      <c r="C204" s="5" t="s">
        <v>34</v>
      </c>
      <c r="D204" s="5" t="s">
        <v>76</v>
      </c>
      <c r="E204" s="5" t="s">
        <v>105</v>
      </c>
      <c r="F204" s="5" t="s">
        <v>55</v>
      </c>
      <c r="G204" s="5" t="s">
        <v>83</v>
      </c>
      <c r="I204" s="5">
        <v>463</v>
      </c>
      <c r="J204" s="5">
        <v>463</v>
      </c>
      <c r="K204" s="5">
        <v>0</v>
      </c>
      <c r="M204" s="5" t="s">
        <v>21</v>
      </c>
    </row>
    <row r="205" spans="1:14">
      <c r="A205" s="5" t="s">
        <v>280</v>
      </c>
      <c r="B205" s="5">
        <v>62</v>
      </c>
      <c r="C205" s="5" t="s">
        <v>15</v>
      </c>
      <c r="D205" s="5" t="s">
        <v>16</v>
      </c>
      <c r="E205" s="5" t="s">
        <v>105</v>
      </c>
      <c r="F205" s="5" t="s">
        <v>157</v>
      </c>
      <c r="G205" s="5" t="s">
        <v>281</v>
      </c>
      <c r="I205" s="5">
        <v>22</v>
      </c>
      <c r="J205" s="5">
        <v>22</v>
      </c>
      <c r="K205" s="5">
        <v>0</v>
      </c>
      <c r="M205" s="5" t="s">
        <v>29</v>
      </c>
      <c r="N205" s="5" t="s">
        <v>29</v>
      </c>
    </row>
    <row r="206" spans="1:14">
      <c r="A206" s="5" t="s">
        <v>282</v>
      </c>
      <c r="B206" s="5">
        <v>67</v>
      </c>
      <c r="C206" s="5" t="s">
        <v>15</v>
      </c>
      <c r="D206" s="5" t="s">
        <v>16</v>
      </c>
      <c r="E206" s="5" t="s">
        <v>105</v>
      </c>
      <c r="F206" s="5" t="s">
        <v>18</v>
      </c>
      <c r="G206" s="5" t="s">
        <v>52</v>
      </c>
      <c r="I206" s="5">
        <v>594</v>
      </c>
      <c r="J206" s="5">
        <v>594</v>
      </c>
      <c r="K206" s="5">
        <v>0</v>
      </c>
      <c r="M206" s="5" t="s">
        <v>21</v>
      </c>
      <c r="N206" s="5" t="s">
        <v>29</v>
      </c>
    </row>
    <row r="207" spans="1:14">
      <c r="A207" s="5" t="s">
        <v>283</v>
      </c>
      <c r="B207" s="5">
        <v>34</v>
      </c>
      <c r="C207" s="5" t="s">
        <v>15</v>
      </c>
      <c r="D207" s="5" t="s">
        <v>76</v>
      </c>
      <c r="E207" s="5" t="s">
        <v>105</v>
      </c>
      <c r="F207" s="5" t="s">
        <v>157</v>
      </c>
      <c r="G207" s="5" t="s">
        <v>74</v>
      </c>
      <c r="I207" s="5">
        <v>996</v>
      </c>
      <c r="J207" s="5">
        <v>996</v>
      </c>
      <c r="K207" s="5">
        <v>0</v>
      </c>
      <c r="M207" s="5" t="s">
        <v>21</v>
      </c>
      <c r="N207" s="5" t="s">
        <v>29</v>
      </c>
    </row>
    <row r="208" spans="1:13">
      <c r="A208" s="5" t="s">
        <v>284</v>
      </c>
      <c r="B208" s="5">
        <v>65</v>
      </c>
      <c r="C208" s="5" t="s">
        <v>34</v>
      </c>
      <c r="D208" s="5" t="s">
        <v>16</v>
      </c>
      <c r="E208" s="5" t="s">
        <v>105</v>
      </c>
      <c r="F208" s="5" t="s">
        <v>31</v>
      </c>
      <c r="G208" s="5" t="s">
        <v>285</v>
      </c>
      <c r="I208" s="5">
        <v>928</v>
      </c>
      <c r="J208" s="5">
        <v>928</v>
      </c>
      <c r="K208" s="5" t="s">
        <v>63</v>
      </c>
      <c r="M208" s="5" t="s">
        <v>26</v>
      </c>
    </row>
    <row r="209" spans="1:13">
      <c r="A209" s="5" t="s">
        <v>286</v>
      </c>
      <c r="B209" s="5">
        <v>34</v>
      </c>
      <c r="C209" s="5" t="s">
        <v>34</v>
      </c>
      <c r="D209" s="5" t="s">
        <v>16</v>
      </c>
      <c r="E209" s="5" t="s">
        <v>105</v>
      </c>
      <c r="F209" s="5" t="s">
        <v>31</v>
      </c>
      <c r="G209" s="5" t="s">
        <v>32</v>
      </c>
      <c r="I209" s="5">
        <v>821</v>
      </c>
      <c r="J209" s="5">
        <v>821</v>
      </c>
      <c r="K209" s="5">
        <v>0</v>
      </c>
      <c r="L209" s="12" t="s">
        <v>227</v>
      </c>
      <c r="M209" s="12" t="s">
        <v>21</v>
      </c>
    </row>
    <row r="210" spans="1:14">
      <c r="A210" s="5" t="s">
        <v>287</v>
      </c>
      <c r="B210" s="5">
        <v>35</v>
      </c>
      <c r="C210" s="5" t="s">
        <v>15</v>
      </c>
      <c r="D210" s="5" t="s">
        <v>16</v>
      </c>
      <c r="E210" s="5" t="s">
        <v>105</v>
      </c>
      <c r="F210" s="5" t="s">
        <v>18</v>
      </c>
      <c r="G210" s="5" t="s">
        <v>288</v>
      </c>
      <c r="I210" s="5">
        <v>819</v>
      </c>
      <c r="J210" s="5">
        <v>819</v>
      </c>
      <c r="K210" s="5">
        <v>0</v>
      </c>
      <c r="M210" s="5" t="s">
        <v>21</v>
      </c>
      <c r="N210" s="5" t="s">
        <v>29</v>
      </c>
    </row>
    <row r="211" spans="1:13">
      <c r="A211" s="5" t="s">
        <v>289</v>
      </c>
      <c r="B211" s="5">
        <v>60</v>
      </c>
      <c r="C211" s="5" t="s">
        <v>34</v>
      </c>
      <c r="D211" s="5" t="s">
        <v>16</v>
      </c>
      <c r="E211" s="5" t="s">
        <v>105</v>
      </c>
      <c r="F211" s="5" t="s">
        <v>31</v>
      </c>
      <c r="G211" s="5" t="s">
        <v>32</v>
      </c>
      <c r="I211" s="5">
        <v>2641</v>
      </c>
      <c r="J211" s="5">
        <v>2641</v>
      </c>
      <c r="K211" s="5">
        <v>0</v>
      </c>
      <c r="M211" s="5" t="s">
        <v>26</v>
      </c>
    </row>
    <row r="212" spans="1:14">
      <c r="A212" s="5" t="s">
        <v>290</v>
      </c>
      <c r="B212" s="5">
        <v>24</v>
      </c>
      <c r="C212" s="5" t="s">
        <v>15</v>
      </c>
      <c r="D212" s="5" t="s">
        <v>16</v>
      </c>
      <c r="E212" s="5" t="s">
        <v>105</v>
      </c>
      <c r="F212" s="5" t="s">
        <v>291</v>
      </c>
      <c r="G212" s="5" t="s">
        <v>74</v>
      </c>
      <c r="I212" s="5">
        <v>133</v>
      </c>
      <c r="J212" s="5">
        <v>133</v>
      </c>
      <c r="K212" s="5">
        <v>0</v>
      </c>
      <c r="M212" s="5" t="s">
        <v>29</v>
      </c>
      <c r="N212" s="5" t="s">
        <v>29</v>
      </c>
    </row>
    <row r="213" spans="1:13">
      <c r="A213" s="5" t="s">
        <v>292</v>
      </c>
      <c r="B213" s="5">
        <v>52</v>
      </c>
      <c r="C213" s="5" t="s">
        <v>34</v>
      </c>
      <c r="D213" s="5" t="s">
        <v>16</v>
      </c>
      <c r="E213" s="5" t="s">
        <v>105</v>
      </c>
      <c r="F213" s="5" t="s">
        <v>157</v>
      </c>
      <c r="G213" s="5" t="s">
        <v>110</v>
      </c>
      <c r="I213" s="5">
        <v>510</v>
      </c>
      <c r="J213" s="5">
        <v>510</v>
      </c>
      <c r="K213" s="5" t="s">
        <v>63</v>
      </c>
      <c r="M213" s="5" t="s">
        <v>26</v>
      </c>
    </row>
    <row r="214" spans="1:14">
      <c r="A214" s="5" t="s">
        <v>293</v>
      </c>
      <c r="B214" s="5">
        <v>75</v>
      </c>
      <c r="C214" s="5" t="s">
        <v>34</v>
      </c>
      <c r="D214" s="5" t="s">
        <v>16</v>
      </c>
      <c r="E214" s="5" t="s">
        <v>105</v>
      </c>
      <c r="F214" s="5" t="s">
        <v>51</v>
      </c>
      <c r="G214" s="5" t="s">
        <v>74</v>
      </c>
      <c r="I214" s="5">
        <v>1247</v>
      </c>
      <c r="J214" s="5">
        <v>1247</v>
      </c>
      <c r="K214" s="5">
        <v>0</v>
      </c>
      <c r="M214" s="5" t="s">
        <v>21</v>
      </c>
      <c r="N214" s="5" t="s">
        <v>29</v>
      </c>
    </row>
    <row r="215" spans="1:14">
      <c r="A215" s="5" t="s">
        <v>294</v>
      </c>
      <c r="B215" s="5">
        <v>54</v>
      </c>
      <c r="C215" s="5" t="s">
        <v>15</v>
      </c>
      <c r="D215" s="5" t="s">
        <v>76</v>
      </c>
      <c r="E215" s="5" t="s">
        <v>105</v>
      </c>
      <c r="F215" s="5" t="s">
        <v>51</v>
      </c>
      <c r="G215" s="5" t="s">
        <v>52</v>
      </c>
      <c r="I215" s="5">
        <v>2369</v>
      </c>
      <c r="J215" s="5">
        <v>2369</v>
      </c>
      <c r="K215" s="5" t="s">
        <v>20</v>
      </c>
      <c r="M215" s="5" t="s">
        <v>21</v>
      </c>
      <c r="N215" s="5" t="s">
        <v>22</v>
      </c>
    </row>
    <row r="216" spans="1:13">
      <c r="A216" s="5" t="s">
        <v>295</v>
      </c>
      <c r="B216" s="5">
        <v>83</v>
      </c>
      <c r="C216" s="5" t="s">
        <v>15</v>
      </c>
      <c r="D216" s="5" t="s">
        <v>16</v>
      </c>
      <c r="E216" s="5" t="s">
        <v>105</v>
      </c>
      <c r="F216" s="5" t="s">
        <v>51</v>
      </c>
      <c r="G216" s="5" t="s">
        <v>52</v>
      </c>
      <c r="I216" s="5">
        <v>546</v>
      </c>
      <c r="J216" s="5">
        <v>546</v>
      </c>
      <c r="K216" s="5">
        <v>0</v>
      </c>
      <c r="M216" s="5" t="s">
        <v>21</v>
      </c>
    </row>
    <row r="217" spans="1:14">
      <c r="A217" s="5" t="s">
        <v>296</v>
      </c>
      <c r="B217" s="5">
        <v>74</v>
      </c>
      <c r="C217" s="5" t="s">
        <v>34</v>
      </c>
      <c r="D217" s="5" t="s">
        <v>16</v>
      </c>
      <c r="E217" s="5" t="s">
        <v>105</v>
      </c>
      <c r="F217" s="5" t="s">
        <v>18</v>
      </c>
      <c r="G217" s="5" t="s">
        <v>32</v>
      </c>
      <c r="I217" s="5">
        <v>1105</v>
      </c>
      <c r="J217" s="5">
        <v>1105</v>
      </c>
      <c r="K217" s="5">
        <v>0</v>
      </c>
      <c r="M217" s="5" t="s">
        <v>21</v>
      </c>
      <c r="N217" s="5" t="s">
        <v>29</v>
      </c>
    </row>
    <row r="218" spans="1:14">
      <c r="A218" s="5" t="s">
        <v>297</v>
      </c>
      <c r="B218" s="5">
        <v>37</v>
      </c>
      <c r="C218" s="5" t="s">
        <v>34</v>
      </c>
      <c r="D218" s="5" t="s">
        <v>16</v>
      </c>
      <c r="E218" s="5" t="s">
        <v>105</v>
      </c>
      <c r="F218" s="5" t="s">
        <v>31</v>
      </c>
      <c r="G218" s="5" t="s">
        <v>52</v>
      </c>
      <c r="I218" s="5">
        <v>407</v>
      </c>
      <c r="J218" s="5">
        <v>407</v>
      </c>
      <c r="K218" s="5">
        <v>0</v>
      </c>
      <c r="M218" s="5" t="s">
        <v>29</v>
      </c>
      <c r="N218" s="5" t="s">
        <v>29</v>
      </c>
    </row>
    <row r="219" spans="1:14">
      <c r="A219" s="5" t="s">
        <v>298</v>
      </c>
      <c r="B219" s="5">
        <v>55</v>
      </c>
      <c r="C219" s="5" t="s">
        <v>15</v>
      </c>
      <c r="D219" s="5" t="s">
        <v>76</v>
      </c>
      <c r="E219" s="5" t="s">
        <v>105</v>
      </c>
      <c r="F219" s="5" t="s">
        <v>51</v>
      </c>
      <c r="G219" s="5" t="s">
        <v>52</v>
      </c>
      <c r="I219" s="5">
        <v>547</v>
      </c>
      <c r="J219" s="5">
        <v>547</v>
      </c>
      <c r="K219" s="5">
        <v>0</v>
      </c>
      <c r="M219" s="5" t="s">
        <v>29</v>
      </c>
      <c r="N219" s="5" t="s">
        <v>29</v>
      </c>
    </row>
    <row r="220" spans="1:14">
      <c r="A220" s="5" t="s">
        <v>299</v>
      </c>
      <c r="B220" s="5">
        <v>56</v>
      </c>
      <c r="C220" s="5" t="s">
        <v>34</v>
      </c>
      <c r="D220" s="5" t="s">
        <v>16</v>
      </c>
      <c r="E220" s="5" t="s">
        <v>105</v>
      </c>
      <c r="F220" s="5" t="s">
        <v>55</v>
      </c>
      <c r="G220" s="5" t="s">
        <v>52</v>
      </c>
      <c r="I220" s="5">
        <v>1070</v>
      </c>
      <c r="J220" s="5">
        <v>1070</v>
      </c>
      <c r="K220" s="5" t="s">
        <v>20</v>
      </c>
      <c r="M220" s="5" t="s">
        <v>21</v>
      </c>
      <c r="N220" s="5" t="s">
        <v>22</v>
      </c>
    </row>
    <row r="221" spans="1:13">
      <c r="A221" s="5" t="s">
        <v>300</v>
      </c>
      <c r="B221" s="5">
        <v>63</v>
      </c>
      <c r="C221" s="5" t="s">
        <v>15</v>
      </c>
      <c r="D221" s="5" t="s">
        <v>16</v>
      </c>
      <c r="E221" s="5" t="s">
        <v>105</v>
      </c>
      <c r="F221" s="5" t="s">
        <v>89</v>
      </c>
      <c r="G221" s="5" t="s">
        <v>74</v>
      </c>
      <c r="I221" s="5">
        <v>1230</v>
      </c>
      <c r="J221" s="5">
        <v>1230</v>
      </c>
      <c r="K221" s="5" t="s">
        <v>63</v>
      </c>
      <c r="M221" s="5" t="s">
        <v>26</v>
      </c>
    </row>
    <row r="222" spans="1:14">
      <c r="A222" s="5" t="s">
        <v>301</v>
      </c>
      <c r="B222" s="5">
        <v>44</v>
      </c>
      <c r="C222" s="5" t="s">
        <v>15</v>
      </c>
      <c r="D222" s="5" t="s">
        <v>16</v>
      </c>
      <c r="E222" s="5" t="s">
        <v>105</v>
      </c>
      <c r="F222" s="5" t="s">
        <v>181</v>
      </c>
      <c r="G222" s="5" t="s">
        <v>19</v>
      </c>
      <c r="I222" s="5">
        <v>4845</v>
      </c>
      <c r="J222" s="5">
        <v>4845</v>
      </c>
      <c r="K222" s="5">
        <v>0</v>
      </c>
      <c r="M222" s="5" t="s">
        <v>29</v>
      </c>
      <c r="N222" s="5" t="s">
        <v>29</v>
      </c>
    </row>
    <row r="223" spans="1:14">
      <c r="A223" s="5" t="s">
        <v>302</v>
      </c>
      <c r="B223" s="5">
        <v>50</v>
      </c>
      <c r="C223" s="5" t="s">
        <v>34</v>
      </c>
      <c r="D223" s="5" t="s">
        <v>16</v>
      </c>
      <c r="E223" s="5" t="s">
        <v>105</v>
      </c>
      <c r="F223" s="5" t="s">
        <v>157</v>
      </c>
      <c r="G223" s="5" t="s">
        <v>303</v>
      </c>
      <c r="I223" s="5">
        <v>771</v>
      </c>
      <c r="J223" s="5">
        <v>771</v>
      </c>
      <c r="K223" s="5">
        <v>0</v>
      </c>
      <c r="M223" s="5" t="s">
        <v>21</v>
      </c>
      <c r="N223" s="5" t="s">
        <v>29</v>
      </c>
    </row>
    <row r="224" spans="1:14">
      <c r="A224" s="5" t="s">
        <v>304</v>
      </c>
      <c r="B224" s="5">
        <v>66</v>
      </c>
      <c r="C224" s="5" t="s">
        <v>34</v>
      </c>
      <c r="D224" s="5" t="s">
        <v>16</v>
      </c>
      <c r="E224" s="5" t="s">
        <v>105</v>
      </c>
      <c r="F224" s="5" t="s">
        <v>31</v>
      </c>
      <c r="G224" s="5" t="s">
        <v>32</v>
      </c>
      <c r="I224" s="5">
        <v>1017</v>
      </c>
      <c r="J224" s="5">
        <v>1017</v>
      </c>
      <c r="K224" s="5">
        <v>0</v>
      </c>
      <c r="M224" s="5" t="s">
        <v>29</v>
      </c>
      <c r="N224" s="5" t="s">
        <v>29</v>
      </c>
    </row>
    <row r="225" spans="1:14">
      <c r="A225" s="5" t="s">
        <v>305</v>
      </c>
      <c r="B225" s="5">
        <v>54</v>
      </c>
      <c r="C225" s="5" t="s">
        <v>34</v>
      </c>
      <c r="D225" s="5" t="s">
        <v>16</v>
      </c>
      <c r="E225" s="5" t="s">
        <v>105</v>
      </c>
      <c r="F225" s="5" t="s">
        <v>18</v>
      </c>
      <c r="G225" s="5" t="s">
        <v>32</v>
      </c>
      <c r="I225" s="5">
        <v>42</v>
      </c>
      <c r="J225" s="5">
        <v>42</v>
      </c>
      <c r="K225" s="5">
        <v>0</v>
      </c>
      <c r="M225" s="5" t="s">
        <v>29</v>
      </c>
      <c r="N225" s="5" t="s">
        <v>29</v>
      </c>
    </row>
    <row r="226" spans="1:14">
      <c r="A226" s="5" t="s">
        <v>306</v>
      </c>
      <c r="B226" s="5">
        <v>65</v>
      </c>
      <c r="C226" s="5" t="s">
        <v>34</v>
      </c>
      <c r="D226" s="5" t="s">
        <v>16</v>
      </c>
      <c r="E226" s="5" t="s">
        <v>105</v>
      </c>
      <c r="F226" s="5" t="s">
        <v>18</v>
      </c>
      <c r="G226" s="5" t="s">
        <v>52</v>
      </c>
      <c r="I226" s="5">
        <v>1399</v>
      </c>
      <c r="J226" s="5">
        <v>1399</v>
      </c>
      <c r="K226" s="5">
        <v>0</v>
      </c>
      <c r="M226" s="5" t="s">
        <v>29</v>
      </c>
      <c r="N226" s="5" t="s">
        <v>29</v>
      </c>
    </row>
    <row r="227" spans="1:14">
      <c r="A227" s="5" t="s">
        <v>307</v>
      </c>
      <c r="B227" s="5">
        <v>50</v>
      </c>
      <c r="C227" s="5" t="s">
        <v>15</v>
      </c>
      <c r="D227" s="5" t="s">
        <v>104</v>
      </c>
      <c r="E227" s="5" t="s">
        <v>105</v>
      </c>
      <c r="F227" s="5" t="s">
        <v>118</v>
      </c>
      <c r="G227" s="5" t="s">
        <v>110</v>
      </c>
      <c r="I227" s="5">
        <v>402</v>
      </c>
      <c r="J227" s="5">
        <v>402</v>
      </c>
      <c r="K227" s="5">
        <v>0</v>
      </c>
      <c r="M227" s="5" t="s">
        <v>21</v>
      </c>
      <c r="N227" s="5" t="s">
        <v>29</v>
      </c>
    </row>
    <row r="228" spans="1:14">
      <c r="A228" s="5" t="s">
        <v>308</v>
      </c>
      <c r="B228" s="5">
        <v>68</v>
      </c>
      <c r="C228" s="5" t="s">
        <v>15</v>
      </c>
      <c r="D228" s="5" t="s">
        <v>16</v>
      </c>
      <c r="E228" s="5" t="s">
        <v>105</v>
      </c>
      <c r="F228" s="5" t="s">
        <v>157</v>
      </c>
      <c r="G228" s="5" t="s">
        <v>83</v>
      </c>
      <c r="I228" s="5">
        <v>5723</v>
      </c>
      <c r="J228" s="5">
        <v>5723</v>
      </c>
      <c r="K228" s="5">
        <v>0</v>
      </c>
      <c r="M228" s="5" t="s">
        <v>21</v>
      </c>
      <c r="N228" s="5" t="s">
        <v>29</v>
      </c>
    </row>
    <row r="229" spans="1:14">
      <c r="A229" s="5" t="s">
        <v>309</v>
      </c>
      <c r="B229" s="5">
        <v>49</v>
      </c>
      <c r="C229" s="5" t="s">
        <v>34</v>
      </c>
      <c r="D229" s="5" t="s">
        <v>16</v>
      </c>
      <c r="E229" s="5" t="s">
        <v>105</v>
      </c>
      <c r="F229" s="5" t="s">
        <v>55</v>
      </c>
      <c r="G229" s="5" t="s">
        <v>52</v>
      </c>
      <c r="I229" s="5">
        <v>661</v>
      </c>
      <c r="J229" s="5">
        <v>661</v>
      </c>
      <c r="K229" s="5">
        <v>0</v>
      </c>
      <c r="M229" s="5" t="s">
        <v>21</v>
      </c>
      <c r="N229" s="5" t="s">
        <v>29</v>
      </c>
    </row>
    <row r="230" spans="1:14">
      <c r="A230" s="5" t="s">
        <v>310</v>
      </c>
      <c r="B230" s="5">
        <v>87</v>
      </c>
      <c r="C230" s="5" t="s">
        <v>15</v>
      </c>
      <c r="D230" s="5" t="s">
        <v>16</v>
      </c>
      <c r="E230" s="5" t="s">
        <v>105</v>
      </c>
      <c r="F230" s="5" t="s">
        <v>89</v>
      </c>
      <c r="G230" s="5" t="s">
        <v>83</v>
      </c>
      <c r="I230" s="5">
        <v>1092</v>
      </c>
      <c r="J230" s="5">
        <v>1092</v>
      </c>
      <c r="K230" s="5">
        <v>0</v>
      </c>
      <c r="M230" s="5" t="s">
        <v>21</v>
      </c>
      <c r="N230" s="5" t="s">
        <v>29</v>
      </c>
    </row>
    <row r="231" spans="1:14">
      <c r="A231" s="5" t="s">
        <v>311</v>
      </c>
      <c r="B231" s="5">
        <v>48</v>
      </c>
      <c r="C231" s="5" t="s">
        <v>15</v>
      </c>
      <c r="D231" s="5" t="s">
        <v>16</v>
      </c>
      <c r="E231" s="5" t="s">
        <v>105</v>
      </c>
      <c r="F231" s="5" t="s">
        <v>18</v>
      </c>
      <c r="G231" s="5" t="s">
        <v>19</v>
      </c>
      <c r="I231" s="5">
        <v>2615</v>
      </c>
      <c r="J231" s="5">
        <v>2615</v>
      </c>
      <c r="K231" s="5">
        <v>0</v>
      </c>
      <c r="M231" s="5" t="s">
        <v>26</v>
      </c>
      <c r="N231" s="5" t="s">
        <v>312</v>
      </c>
    </row>
    <row r="232" spans="1:14">
      <c r="A232" s="5" t="s">
        <v>313</v>
      </c>
      <c r="B232" s="5">
        <v>57</v>
      </c>
      <c r="C232" s="5" t="s">
        <v>34</v>
      </c>
      <c r="D232" s="5" t="s">
        <v>16</v>
      </c>
      <c r="E232" s="5" t="s">
        <v>105</v>
      </c>
      <c r="F232" s="5" t="s">
        <v>18</v>
      </c>
      <c r="G232" s="5" t="s">
        <v>32</v>
      </c>
      <c r="I232" s="5">
        <v>3310</v>
      </c>
      <c r="J232" s="5">
        <v>3310</v>
      </c>
      <c r="K232" s="5">
        <v>0</v>
      </c>
      <c r="M232" s="5" t="s">
        <v>29</v>
      </c>
      <c r="N232" s="5" t="s">
        <v>29</v>
      </c>
    </row>
    <row r="233" spans="1:14">
      <c r="A233" s="5" t="s">
        <v>314</v>
      </c>
      <c r="B233" s="5">
        <v>63</v>
      </c>
      <c r="C233" s="5" t="s">
        <v>15</v>
      </c>
      <c r="D233" s="5" t="s">
        <v>16</v>
      </c>
      <c r="E233" s="5" t="s">
        <v>105</v>
      </c>
      <c r="F233" s="5" t="s">
        <v>18</v>
      </c>
      <c r="G233" s="5" t="s">
        <v>57</v>
      </c>
      <c r="I233" s="5">
        <v>1092</v>
      </c>
      <c r="J233" s="5">
        <v>1092</v>
      </c>
      <c r="K233" s="5">
        <v>0</v>
      </c>
      <c r="M233" s="5" t="s">
        <v>21</v>
      </c>
      <c r="N233" s="5" t="s">
        <v>29</v>
      </c>
    </row>
    <row r="234" spans="1:14">
      <c r="A234" s="5" t="s">
        <v>315</v>
      </c>
      <c r="B234" s="5">
        <v>82</v>
      </c>
      <c r="C234" s="5" t="s">
        <v>15</v>
      </c>
      <c r="D234" s="5" t="s">
        <v>16</v>
      </c>
      <c r="E234" s="5" t="s">
        <v>105</v>
      </c>
      <c r="F234" s="5" t="s">
        <v>18</v>
      </c>
      <c r="G234" s="5" t="s">
        <v>32</v>
      </c>
      <c r="I234" s="5">
        <v>2830</v>
      </c>
      <c r="J234" s="5">
        <v>2830</v>
      </c>
      <c r="K234" s="5" t="s">
        <v>20</v>
      </c>
      <c r="M234" s="5" t="s">
        <v>21</v>
      </c>
      <c r="N234" s="5" t="s">
        <v>22</v>
      </c>
    </row>
    <row r="235" spans="1:13">
      <c r="A235" s="5" t="s">
        <v>316</v>
      </c>
      <c r="B235" s="5">
        <v>62</v>
      </c>
      <c r="C235" s="5" t="s">
        <v>34</v>
      </c>
      <c r="D235" s="5" t="s">
        <v>16</v>
      </c>
      <c r="E235" s="5" t="s">
        <v>105</v>
      </c>
      <c r="F235" s="5" t="s">
        <v>31</v>
      </c>
      <c r="G235" s="5" t="s">
        <v>124</v>
      </c>
      <c r="I235" s="5">
        <v>1492</v>
      </c>
      <c r="J235" s="5">
        <v>1492</v>
      </c>
      <c r="K235" s="5" t="s">
        <v>63</v>
      </c>
      <c r="M235" s="5" t="s">
        <v>26</v>
      </c>
    </row>
    <row r="236" spans="1:14">
      <c r="A236" s="5" t="s">
        <v>317</v>
      </c>
      <c r="B236" s="5">
        <v>78</v>
      </c>
      <c r="C236" s="5" t="s">
        <v>15</v>
      </c>
      <c r="D236" s="5" t="s">
        <v>76</v>
      </c>
      <c r="E236" s="5" t="s">
        <v>105</v>
      </c>
      <c r="F236" s="5" t="s">
        <v>55</v>
      </c>
      <c r="G236" s="5" t="s">
        <v>52</v>
      </c>
      <c r="I236" s="5">
        <v>2057</v>
      </c>
      <c r="J236" s="5">
        <v>2057</v>
      </c>
      <c r="K236" s="5">
        <v>0</v>
      </c>
      <c r="M236" s="5" t="s">
        <v>21</v>
      </c>
      <c r="N236" s="5" t="s">
        <v>29</v>
      </c>
    </row>
    <row r="237" spans="1:14">
      <c r="A237" s="5" t="s">
        <v>318</v>
      </c>
      <c r="B237" s="5">
        <v>78</v>
      </c>
      <c r="C237" s="5" t="s">
        <v>34</v>
      </c>
      <c r="D237" s="5" t="s">
        <v>16</v>
      </c>
      <c r="E237" s="5" t="s">
        <v>105</v>
      </c>
      <c r="F237" s="5" t="s">
        <v>55</v>
      </c>
      <c r="G237" s="5" t="s">
        <v>124</v>
      </c>
      <c r="I237" s="5">
        <v>533</v>
      </c>
      <c r="J237" s="5">
        <v>533</v>
      </c>
      <c r="K237" s="5">
        <v>0</v>
      </c>
      <c r="M237" s="5" t="s">
        <v>21</v>
      </c>
      <c r="N237" s="5" t="s">
        <v>29</v>
      </c>
    </row>
    <row r="238" spans="1:14">
      <c r="A238" s="5" t="s">
        <v>319</v>
      </c>
      <c r="B238" s="5">
        <v>60</v>
      </c>
      <c r="C238" s="5" t="s">
        <v>15</v>
      </c>
      <c r="D238" s="5" t="s">
        <v>16</v>
      </c>
      <c r="E238" s="5" t="s">
        <v>105</v>
      </c>
      <c r="F238" s="5" t="s">
        <v>55</v>
      </c>
      <c r="G238" s="5" t="s">
        <v>52</v>
      </c>
      <c r="I238" s="5">
        <v>773</v>
      </c>
      <c r="J238" s="5">
        <v>773</v>
      </c>
      <c r="K238" s="5">
        <v>0</v>
      </c>
      <c r="M238" s="5" t="s">
        <v>29</v>
      </c>
      <c r="N238" s="5" t="s">
        <v>29</v>
      </c>
    </row>
    <row r="239" spans="1:14">
      <c r="A239" s="5" t="s">
        <v>320</v>
      </c>
      <c r="B239" s="5">
        <v>59</v>
      </c>
      <c r="C239" s="5" t="s">
        <v>34</v>
      </c>
      <c r="D239" s="5" t="s">
        <v>16</v>
      </c>
      <c r="E239" s="5" t="s">
        <v>105</v>
      </c>
      <c r="F239" s="5" t="s">
        <v>55</v>
      </c>
      <c r="G239" s="5" t="s">
        <v>124</v>
      </c>
      <c r="I239" s="5">
        <v>1373</v>
      </c>
      <c r="J239" s="5">
        <v>1373</v>
      </c>
      <c r="K239" s="5">
        <v>0</v>
      </c>
      <c r="M239" s="5" t="s">
        <v>21</v>
      </c>
      <c r="N239" s="5" t="s">
        <v>29</v>
      </c>
    </row>
    <row r="240" spans="1:14">
      <c r="A240" s="5" t="s">
        <v>321</v>
      </c>
      <c r="B240" s="5">
        <v>58</v>
      </c>
      <c r="C240" s="5" t="s">
        <v>15</v>
      </c>
      <c r="D240" s="5" t="s">
        <v>16</v>
      </c>
      <c r="E240" s="5" t="s">
        <v>105</v>
      </c>
      <c r="F240" s="5" t="s">
        <v>18</v>
      </c>
      <c r="G240" s="5" t="s">
        <v>19</v>
      </c>
      <c r="I240" s="5">
        <v>1126</v>
      </c>
      <c r="J240" s="5">
        <v>1126</v>
      </c>
      <c r="K240" s="5" t="s">
        <v>20</v>
      </c>
      <c r="M240" s="5" t="s">
        <v>29</v>
      </c>
      <c r="N240" s="5" t="s">
        <v>22</v>
      </c>
    </row>
    <row r="241" spans="1:14">
      <c r="A241" s="5" t="s">
        <v>322</v>
      </c>
      <c r="B241" s="5">
        <v>66</v>
      </c>
      <c r="C241" s="5" t="s">
        <v>34</v>
      </c>
      <c r="D241" s="5" t="s">
        <v>16</v>
      </c>
      <c r="E241" s="5" t="s">
        <v>105</v>
      </c>
      <c r="F241" s="5" t="s">
        <v>18</v>
      </c>
      <c r="G241" s="5" t="s">
        <v>74</v>
      </c>
      <c r="I241" s="5">
        <v>1170</v>
      </c>
      <c r="J241" s="5">
        <v>1170</v>
      </c>
      <c r="K241" s="5" t="s">
        <v>274</v>
      </c>
      <c r="M241" s="5" t="s">
        <v>21</v>
      </c>
      <c r="N241" s="5" t="s">
        <v>22</v>
      </c>
    </row>
    <row r="242" spans="1:14">
      <c r="A242" s="5" t="s">
        <v>323</v>
      </c>
      <c r="B242" s="5">
        <v>20</v>
      </c>
      <c r="C242" s="5" t="s">
        <v>15</v>
      </c>
      <c r="D242" s="5" t="s">
        <v>16</v>
      </c>
      <c r="E242" s="5" t="s">
        <v>105</v>
      </c>
      <c r="F242" s="5" t="s">
        <v>202</v>
      </c>
      <c r="G242" s="5" t="s">
        <v>83</v>
      </c>
      <c r="I242" s="5">
        <v>4627</v>
      </c>
      <c r="J242" s="5">
        <v>4627</v>
      </c>
      <c r="K242" s="5">
        <v>0</v>
      </c>
      <c r="M242" s="5" t="s">
        <v>21</v>
      </c>
      <c r="N242" s="5" t="s">
        <v>29</v>
      </c>
    </row>
    <row r="243" spans="1:14">
      <c r="A243" s="5" t="s">
        <v>324</v>
      </c>
      <c r="B243" s="5">
        <v>55</v>
      </c>
      <c r="C243" s="5" t="s">
        <v>15</v>
      </c>
      <c r="D243" s="5" t="s">
        <v>16</v>
      </c>
      <c r="E243" s="5" t="s">
        <v>105</v>
      </c>
      <c r="F243" s="5" t="s">
        <v>31</v>
      </c>
      <c r="G243" s="5" t="s">
        <v>32</v>
      </c>
      <c r="I243" s="5">
        <v>2271</v>
      </c>
      <c r="J243" s="5">
        <v>2271</v>
      </c>
      <c r="K243" s="5">
        <v>0</v>
      </c>
      <c r="M243" s="5" t="s">
        <v>29</v>
      </c>
      <c r="N243" s="5" t="s">
        <v>29</v>
      </c>
    </row>
    <row r="244" spans="1:14">
      <c r="A244" s="5" t="s">
        <v>325</v>
      </c>
      <c r="B244" s="5">
        <v>53</v>
      </c>
      <c r="C244" s="5" t="s">
        <v>34</v>
      </c>
      <c r="D244" s="5" t="s">
        <v>16</v>
      </c>
      <c r="E244" s="5" t="s">
        <v>105</v>
      </c>
      <c r="F244" s="5" t="s">
        <v>31</v>
      </c>
      <c r="G244" s="5" t="s">
        <v>167</v>
      </c>
      <c r="I244" s="5">
        <v>505</v>
      </c>
      <c r="J244" s="5">
        <v>505</v>
      </c>
      <c r="K244" s="5">
        <v>0</v>
      </c>
      <c r="L244" s="5">
        <v>0</v>
      </c>
      <c r="M244" s="5" t="s">
        <v>29</v>
      </c>
      <c r="N244" s="5" t="s">
        <v>29</v>
      </c>
    </row>
    <row r="245" spans="1:14">
      <c r="A245" s="5" t="s">
        <v>326</v>
      </c>
      <c r="B245" s="5">
        <v>62</v>
      </c>
      <c r="C245" s="5" t="s">
        <v>34</v>
      </c>
      <c r="D245" s="5" t="s">
        <v>16</v>
      </c>
      <c r="E245" s="5" t="s">
        <v>105</v>
      </c>
      <c r="F245" s="5" t="s">
        <v>18</v>
      </c>
      <c r="G245" s="5" t="s">
        <v>32</v>
      </c>
      <c r="I245" s="5">
        <v>808</v>
      </c>
      <c r="J245" s="5">
        <v>808</v>
      </c>
      <c r="K245" s="5" t="s">
        <v>63</v>
      </c>
      <c r="L245" s="5" t="s">
        <v>111</v>
      </c>
      <c r="M245" s="5" t="s">
        <v>21</v>
      </c>
      <c r="N245" s="5" t="s">
        <v>111</v>
      </c>
    </row>
    <row r="246" spans="1:14">
      <c r="A246" s="5" t="s">
        <v>327</v>
      </c>
      <c r="B246" s="5">
        <v>71</v>
      </c>
      <c r="C246" s="5" t="s">
        <v>15</v>
      </c>
      <c r="D246" s="5" t="s">
        <v>16</v>
      </c>
      <c r="E246" s="5" t="s">
        <v>105</v>
      </c>
      <c r="F246" s="5" t="s">
        <v>18</v>
      </c>
      <c r="G246" s="5" t="s">
        <v>19</v>
      </c>
      <c r="I246" s="5">
        <v>356</v>
      </c>
      <c r="J246" s="5">
        <v>356</v>
      </c>
      <c r="K246" s="5">
        <v>0</v>
      </c>
      <c r="M246" s="5" t="s">
        <v>21</v>
      </c>
      <c r="N246" s="5" t="s">
        <v>29</v>
      </c>
    </row>
    <row r="247" spans="1:14">
      <c r="A247" s="5" t="s">
        <v>328</v>
      </c>
      <c r="B247" s="5">
        <v>78</v>
      </c>
      <c r="C247" s="5" t="s">
        <v>15</v>
      </c>
      <c r="D247" s="5" t="s">
        <v>16</v>
      </c>
      <c r="E247" s="5" t="s">
        <v>105</v>
      </c>
      <c r="F247" s="5" t="s">
        <v>89</v>
      </c>
      <c r="G247" s="5" t="s">
        <v>52</v>
      </c>
      <c r="I247" s="5">
        <v>2619</v>
      </c>
      <c r="J247" s="5">
        <v>2619</v>
      </c>
      <c r="K247" s="5">
        <v>0</v>
      </c>
      <c r="M247" s="5" t="s">
        <v>21</v>
      </c>
      <c r="N247" s="5" t="s">
        <v>29</v>
      </c>
    </row>
    <row r="248" spans="1:14">
      <c r="A248" s="5" t="s">
        <v>329</v>
      </c>
      <c r="B248" s="5">
        <v>71</v>
      </c>
      <c r="C248" s="5" t="s">
        <v>34</v>
      </c>
      <c r="D248" s="5" t="s">
        <v>16</v>
      </c>
      <c r="E248" s="5" t="s">
        <v>105</v>
      </c>
      <c r="F248" s="5" t="s">
        <v>55</v>
      </c>
      <c r="G248" s="5" t="s">
        <v>124</v>
      </c>
      <c r="I248" s="5">
        <v>379</v>
      </c>
      <c r="J248" s="5">
        <v>379</v>
      </c>
      <c r="K248" s="5">
        <v>0</v>
      </c>
      <c r="M248" s="5" t="s">
        <v>21</v>
      </c>
      <c r="N248" s="5" t="s">
        <v>29</v>
      </c>
    </row>
    <row r="249" spans="1:14">
      <c r="A249" s="5" t="s">
        <v>330</v>
      </c>
      <c r="B249" s="5">
        <v>65</v>
      </c>
      <c r="C249" s="5" t="s">
        <v>15</v>
      </c>
      <c r="D249" s="5" t="s">
        <v>16</v>
      </c>
      <c r="E249" s="5" t="s">
        <v>105</v>
      </c>
      <c r="F249" s="5" t="s">
        <v>89</v>
      </c>
      <c r="G249" s="5" t="s">
        <v>52</v>
      </c>
      <c r="I249" s="5">
        <v>2030</v>
      </c>
      <c r="J249" s="5">
        <v>2030</v>
      </c>
      <c r="K249" s="5" t="s">
        <v>63</v>
      </c>
      <c r="M249" s="5" t="s">
        <v>21</v>
      </c>
      <c r="N249" s="5" t="s">
        <v>22</v>
      </c>
    </row>
    <row r="250" spans="1:13">
      <c r="A250" s="5" t="s">
        <v>331</v>
      </c>
      <c r="B250" s="5">
        <v>43</v>
      </c>
      <c r="C250" s="5" t="s">
        <v>34</v>
      </c>
      <c r="D250" s="5" t="s">
        <v>16</v>
      </c>
      <c r="E250" s="5" t="s">
        <v>105</v>
      </c>
      <c r="F250" s="5" t="s">
        <v>31</v>
      </c>
      <c r="G250" s="5" t="s">
        <v>32</v>
      </c>
      <c r="I250" s="5">
        <v>4150</v>
      </c>
      <c r="J250" s="5">
        <v>4150</v>
      </c>
      <c r="K250" s="5" t="s">
        <v>63</v>
      </c>
      <c r="M250" s="5" t="s">
        <v>26</v>
      </c>
    </row>
    <row r="251" spans="1:14">
      <c r="A251" s="5" t="s">
        <v>332</v>
      </c>
      <c r="B251" s="5">
        <v>60</v>
      </c>
      <c r="C251" s="5" t="s">
        <v>34</v>
      </c>
      <c r="D251" s="5" t="s">
        <v>16</v>
      </c>
      <c r="E251" s="5" t="s">
        <v>105</v>
      </c>
      <c r="F251" s="5" t="s">
        <v>31</v>
      </c>
      <c r="G251" s="5" t="s">
        <v>32</v>
      </c>
      <c r="I251" s="5">
        <v>261</v>
      </c>
      <c r="J251" s="5">
        <v>261</v>
      </c>
      <c r="K251" s="5">
        <v>0</v>
      </c>
      <c r="M251" s="5" t="s">
        <v>29</v>
      </c>
      <c r="N251" s="5" t="s">
        <v>29</v>
      </c>
    </row>
    <row r="252" spans="1:14">
      <c r="A252" s="5" t="s">
        <v>333</v>
      </c>
      <c r="B252" s="5">
        <v>33</v>
      </c>
      <c r="C252" s="5" t="s">
        <v>34</v>
      </c>
      <c r="D252" s="5" t="s">
        <v>16</v>
      </c>
      <c r="E252" s="5" t="s">
        <v>105</v>
      </c>
      <c r="F252" s="5" t="s">
        <v>18</v>
      </c>
      <c r="G252" s="5" t="s">
        <v>32</v>
      </c>
      <c r="I252" s="5">
        <v>1096</v>
      </c>
      <c r="J252" s="5">
        <v>1096</v>
      </c>
      <c r="K252" s="5" t="s">
        <v>49</v>
      </c>
      <c r="M252" s="5" t="s">
        <v>21</v>
      </c>
      <c r="N252" s="5" t="s">
        <v>22</v>
      </c>
    </row>
    <row r="253" spans="1:14">
      <c r="A253" s="5" t="s">
        <v>334</v>
      </c>
      <c r="B253" s="5">
        <v>63</v>
      </c>
      <c r="C253" s="5" t="s">
        <v>15</v>
      </c>
      <c r="D253" s="5" t="s">
        <v>16</v>
      </c>
      <c r="E253" s="5" t="s">
        <v>105</v>
      </c>
      <c r="F253" s="5" t="s">
        <v>18</v>
      </c>
      <c r="G253" s="5" t="s">
        <v>19</v>
      </c>
      <c r="I253" s="5">
        <v>5204</v>
      </c>
      <c r="J253" s="5">
        <v>5204</v>
      </c>
      <c r="K253" s="5" t="s">
        <v>20</v>
      </c>
      <c r="M253" s="5" t="s">
        <v>21</v>
      </c>
      <c r="N253" s="5" t="s">
        <v>22</v>
      </c>
    </row>
    <row r="254" spans="1:14">
      <c r="A254" s="5" t="s">
        <v>335</v>
      </c>
      <c r="B254" s="5">
        <v>53</v>
      </c>
      <c r="C254" s="5" t="s">
        <v>15</v>
      </c>
      <c r="D254" s="5" t="s">
        <v>76</v>
      </c>
      <c r="E254" s="5" t="s">
        <v>105</v>
      </c>
      <c r="F254" s="5" t="s">
        <v>55</v>
      </c>
      <c r="G254" s="5" t="s">
        <v>67</v>
      </c>
      <c r="I254" s="5">
        <v>537</v>
      </c>
      <c r="J254" s="5">
        <v>537</v>
      </c>
      <c r="K254" s="5">
        <v>0</v>
      </c>
      <c r="M254" s="5" t="s">
        <v>21</v>
      </c>
      <c r="N254" s="5" t="s">
        <v>29</v>
      </c>
    </row>
    <row r="255" spans="1:14">
      <c r="A255" s="5" t="s">
        <v>336</v>
      </c>
      <c r="B255" s="5">
        <v>75</v>
      </c>
      <c r="C255" s="5" t="s">
        <v>34</v>
      </c>
      <c r="D255" s="5" t="s">
        <v>16</v>
      </c>
      <c r="E255" s="5" t="s">
        <v>105</v>
      </c>
      <c r="F255" s="5" t="s">
        <v>31</v>
      </c>
      <c r="G255" s="5" t="s">
        <v>32</v>
      </c>
      <c r="I255" s="5">
        <v>959</v>
      </c>
      <c r="J255" s="5">
        <v>959</v>
      </c>
      <c r="K255" s="5">
        <v>0</v>
      </c>
      <c r="L255" s="5" t="s">
        <v>111</v>
      </c>
      <c r="M255" s="5" t="s">
        <v>21</v>
      </c>
      <c r="N255" s="5" t="s">
        <v>111</v>
      </c>
    </row>
    <row r="256" spans="1:14">
      <c r="A256" s="5" t="s">
        <v>337</v>
      </c>
      <c r="B256" s="5">
        <v>55</v>
      </c>
      <c r="C256" s="5" t="s">
        <v>34</v>
      </c>
      <c r="D256" s="5" t="s">
        <v>16</v>
      </c>
      <c r="E256" s="5" t="s">
        <v>105</v>
      </c>
      <c r="F256" s="5" t="s">
        <v>18</v>
      </c>
      <c r="G256" s="5" t="s">
        <v>32</v>
      </c>
      <c r="I256" s="5">
        <v>1143</v>
      </c>
      <c r="J256" s="5">
        <v>1143</v>
      </c>
      <c r="K256" s="5">
        <v>0</v>
      </c>
      <c r="M256" s="5" t="s">
        <v>21</v>
      </c>
      <c r="N256" s="5" t="s">
        <v>29</v>
      </c>
    </row>
    <row r="257" spans="1:14">
      <c r="A257" s="5" t="s">
        <v>338</v>
      </c>
      <c r="B257" s="5">
        <v>65</v>
      </c>
      <c r="C257" s="5" t="s">
        <v>15</v>
      </c>
      <c r="D257" s="5" t="s">
        <v>16</v>
      </c>
      <c r="E257" s="5" t="s">
        <v>105</v>
      </c>
      <c r="F257" s="5" t="s">
        <v>18</v>
      </c>
      <c r="G257" s="5" t="s">
        <v>32</v>
      </c>
      <c r="I257" s="5">
        <v>1891</v>
      </c>
      <c r="J257" s="5">
        <v>1891</v>
      </c>
      <c r="K257" s="5" t="s">
        <v>49</v>
      </c>
      <c r="M257" s="5" t="s">
        <v>29</v>
      </c>
      <c r="N257" s="5" t="s">
        <v>22</v>
      </c>
    </row>
    <row r="258" spans="1:14">
      <c r="A258" s="5" t="s">
        <v>339</v>
      </c>
      <c r="B258" s="5">
        <v>61</v>
      </c>
      <c r="C258" s="5" t="s">
        <v>34</v>
      </c>
      <c r="D258" s="5" t="s">
        <v>16</v>
      </c>
      <c r="E258" s="5" t="s">
        <v>105</v>
      </c>
      <c r="F258" s="5" t="s">
        <v>18</v>
      </c>
      <c r="G258" s="5" t="s">
        <v>32</v>
      </c>
      <c r="I258" s="5">
        <v>1892</v>
      </c>
      <c r="J258" s="5">
        <v>1892</v>
      </c>
      <c r="K258" s="5">
        <v>0</v>
      </c>
      <c r="M258" s="5" t="s">
        <v>21</v>
      </c>
      <c r="N258" s="5" t="s">
        <v>29</v>
      </c>
    </row>
    <row r="259" spans="1:14">
      <c r="A259" s="5" t="s">
        <v>340</v>
      </c>
      <c r="B259" s="5">
        <v>56</v>
      </c>
      <c r="C259" s="5" t="s">
        <v>15</v>
      </c>
      <c r="D259" s="5" t="s">
        <v>16</v>
      </c>
      <c r="E259" s="5" t="s">
        <v>105</v>
      </c>
      <c r="F259" s="5" t="s">
        <v>18</v>
      </c>
      <c r="G259" s="5" t="s">
        <v>32</v>
      </c>
      <c r="I259" s="5">
        <v>2291</v>
      </c>
      <c r="J259" s="5">
        <v>2291</v>
      </c>
      <c r="K259" s="5" t="s">
        <v>20</v>
      </c>
      <c r="M259" s="5" t="s">
        <v>341</v>
      </c>
      <c r="N259" s="5" t="s">
        <v>22</v>
      </c>
    </row>
    <row r="260" spans="1:14">
      <c r="A260" s="5" t="s">
        <v>342</v>
      </c>
      <c r="B260" s="5">
        <v>67</v>
      </c>
      <c r="C260" s="5" t="s">
        <v>15</v>
      </c>
      <c r="D260" s="5" t="s">
        <v>16</v>
      </c>
      <c r="E260" s="5" t="s">
        <v>105</v>
      </c>
      <c r="F260" s="5" t="s">
        <v>31</v>
      </c>
      <c r="G260" s="5" t="s">
        <v>32</v>
      </c>
      <c r="I260" s="5">
        <v>2087</v>
      </c>
      <c r="J260" s="5">
        <v>2087</v>
      </c>
      <c r="K260" s="5">
        <v>0</v>
      </c>
      <c r="M260" s="5" t="s">
        <v>29</v>
      </c>
      <c r="N260" s="5" t="s">
        <v>29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60"/>
  <sheetViews>
    <sheetView zoomScale="130" zoomScaleNormal="130" topLeftCell="A98" workbookViewId="0">
      <selection activeCell="B98" sqref="B98:D98"/>
    </sheetView>
  </sheetViews>
  <sheetFormatPr defaultColWidth="9" defaultRowHeight="15" outlineLevelCol="3"/>
  <cols>
    <col min="1" max="1" width="16.375" style="5" customWidth="1"/>
    <col min="2" max="2" width="31.125" style="5" customWidth="1"/>
    <col min="3" max="3" width="20.375" style="5" customWidth="1"/>
    <col min="4" max="4" width="27.125" style="5" customWidth="1"/>
  </cols>
  <sheetData>
    <row r="1" spans="1:4">
      <c r="A1" s="5" t="s">
        <v>0</v>
      </c>
      <c r="B1" s="11" t="s">
        <v>343</v>
      </c>
      <c r="C1" s="5" t="s">
        <v>10</v>
      </c>
      <c r="D1" s="5" t="s">
        <v>12</v>
      </c>
    </row>
    <row r="2" spans="1:4">
      <c r="A2" s="5" t="s">
        <v>14</v>
      </c>
      <c r="B2" s="5" t="s">
        <v>18</v>
      </c>
      <c r="C2" s="5" t="s">
        <v>344</v>
      </c>
      <c r="D2" s="5" t="s">
        <v>341</v>
      </c>
    </row>
    <row r="3" spans="1:4">
      <c r="A3" s="5" t="s">
        <v>23</v>
      </c>
      <c r="B3" s="5" t="s">
        <v>24</v>
      </c>
      <c r="C3" s="5" t="s">
        <v>344</v>
      </c>
      <c r="D3" s="5" t="s">
        <v>344</v>
      </c>
    </row>
    <row r="4" spans="1:4">
      <c r="A4" s="5" t="s">
        <v>27</v>
      </c>
      <c r="B4" s="5" t="s">
        <v>18</v>
      </c>
      <c r="C4" s="5" t="s">
        <v>344</v>
      </c>
      <c r="D4" s="5" t="s">
        <v>29</v>
      </c>
    </row>
    <row r="5" spans="1:4">
      <c r="A5" s="5" t="s">
        <v>30</v>
      </c>
      <c r="B5" s="5" t="s">
        <v>31</v>
      </c>
      <c r="C5" s="5" t="s">
        <v>341</v>
      </c>
      <c r="D5" s="5" t="s">
        <v>344</v>
      </c>
    </row>
    <row r="6" spans="1:4">
      <c r="A6" s="5" t="s">
        <v>33</v>
      </c>
      <c r="B6" s="5" t="s">
        <v>31</v>
      </c>
      <c r="C6" s="5" t="s">
        <v>341</v>
      </c>
      <c r="D6" s="5" t="s">
        <v>344</v>
      </c>
    </row>
    <row r="7" spans="1:4">
      <c r="A7" s="5" t="s">
        <v>35</v>
      </c>
      <c r="B7" s="5" t="s">
        <v>31</v>
      </c>
      <c r="C7" s="5" t="s">
        <v>341</v>
      </c>
      <c r="D7" s="5" t="s">
        <v>344</v>
      </c>
    </row>
    <row r="8" spans="1:4">
      <c r="A8" s="5" t="s">
        <v>36</v>
      </c>
      <c r="B8" s="5" t="s">
        <v>31</v>
      </c>
      <c r="C8" s="5" t="s">
        <v>341</v>
      </c>
      <c r="D8" s="5" t="s">
        <v>344</v>
      </c>
    </row>
    <row r="9" spans="1:4">
      <c r="A9" s="5" t="s">
        <v>37</v>
      </c>
      <c r="B9" s="5" t="s">
        <v>31</v>
      </c>
      <c r="C9" s="5" t="s">
        <v>341</v>
      </c>
      <c r="D9" s="5" t="s">
        <v>344</v>
      </c>
    </row>
    <row r="10" spans="1:4">
      <c r="A10" s="5" t="s">
        <v>38</v>
      </c>
      <c r="B10" s="5" t="s">
        <v>18</v>
      </c>
      <c r="C10" s="5" t="s">
        <v>341</v>
      </c>
      <c r="D10" s="5" t="s">
        <v>341</v>
      </c>
    </row>
    <row r="11" spans="1:4">
      <c r="A11" s="5" t="s">
        <v>39</v>
      </c>
      <c r="B11" s="5" t="s">
        <v>18</v>
      </c>
      <c r="C11" s="5" t="s">
        <v>341</v>
      </c>
      <c r="D11" s="5" t="s">
        <v>341</v>
      </c>
    </row>
    <row r="12" spans="1:4">
      <c r="A12" s="5" t="s">
        <v>40</v>
      </c>
      <c r="B12" s="5" t="s">
        <v>31</v>
      </c>
      <c r="C12" s="5" t="s">
        <v>341</v>
      </c>
      <c r="D12" s="5" t="s">
        <v>344</v>
      </c>
    </row>
    <row r="13" spans="1:4">
      <c r="A13" s="5" t="s">
        <v>41</v>
      </c>
      <c r="B13" s="5" t="s">
        <v>18</v>
      </c>
      <c r="C13" s="5" t="s">
        <v>344</v>
      </c>
      <c r="D13" s="5" t="s">
        <v>29</v>
      </c>
    </row>
    <row r="14" spans="1:4">
      <c r="A14" s="5" t="s">
        <v>42</v>
      </c>
      <c r="B14" s="5" t="s">
        <v>18</v>
      </c>
      <c r="C14" s="5" t="s">
        <v>344</v>
      </c>
      <c r="D14" s="5" t="s">
        <v>344</v>
      </c>
    </row>
    <row r="15" spans="1:4">
      <c r="A15" s="5" t="s">
        <v>43</v>
      </c>
      <c r="B15" s="5" t="s">
        <v>18</v>
      </c>
      <c r="C15" s="5" t="s">
        <v>344</v>
      </c>
      <c r="D15" s="5" t="s">
        <v>341</v>
      </c>
    </row>
    <row r="16" spans="1:4">
      <c r="A16" s="5" t="s">
        <v>45</v>
      </c>
      <c r="B16" s="5" t="s">
        <v>18</v>
      </c>
      <c r="C16" s="5" t="s">
        <v>344</v>
      </c>
      <c r="D16" s="5" t="s">
        <v>341</v>
      </c>
    </row>
    <row r="17" spans="1:4">
      <c r="A17" s="5" t="s">
        <v>48</v>
      </c>
      <c r="B17" s="5" t="s">
        <v>31</v>
      </c>
      <c r="C17" s="5" t="s">
        <v>344</v>
      </c>
      <c r="D17" s="5" t="s">
        <v>344</v>
      </c>
    </row>
    <row r="18" spans="1:4">
      <c r="A18" s="5" t="s">
        <v>50</v>
      </c>
      <c r="B18" s="5" t="s">
        <v>51</v>
      </c>
      <c r="C18" s="5" t="s">
        <v>344</v>
      </c>
      <c r="D18" s="5" t="s">
        <v>341</v>
      </c>
    </row>
    <row r="19" spans="1:4">
      <c r="A19" s="5" t="s">
        <v>54</v>
      </c>
      <c r="B19" s="5" t="s">
        <v>55</v>
      </c>
      <c r="C19" s="5" t="s">
        <v>344</v>
      </c>
      <c r="D19" s="5" t="s">
        <v>344</v>
      </c>
    </row>
    <row r="20" spans="1:4">
      <c r="A20" s="5" t="s">
        <v>56</v>
      </c>
      <c r="B20" s="5" t="s">
        <v>18</v>
      </c>
      <c r="C20" s="5" t="s">
        <v>344</v>
      </c>
      <c r="D20" s="5" t="s">
        <v>344</v>
      </c>
    </row>
    <row r="21" spans="1:4">
      <c r="A21" s="5" t="s">
        <v>59</v>
      </c>
      <c r="B21" s="5" t="s">
        <v>31</v>
      </c>
      <c r="C21" s="5" t="s">
        <v>344</v>
      </c>
      <c r="D21" s="5" t="s">
        <v>344</v>
      </c>
    </row>
    <row r="22" spans="1:4">
      <c r="A22" s="5" t="s">
        <v>60</v>
      </c>
      <c r="B22" s="5" t="s">
        <v>31</v>
      </c>
      <c r="C22" s="5" t="s">
        <v>344</v>
      </c>
      <c r="D22" s="5" t="s">
        <v>344</v>
      </c>
    </row>
    <row r="23" spans="1:4">
      <c r="A23" s="5" t="s">
        <v>62</v>
      </c>
      <c r="B23" s="5" t="s">
        <v>31</v>
      </c>
      <c r="C23" s="5" t="s">
        <v>344</v>
      </c>
      <c r="D23" s="5" t="s">
        <v>344</v>
      </c>
    </row>
    <row r="24" spans="1:4">
      <c r="A24" s="5" t="s">
        <v>64</v>
      </c>
      <c r="B24" s="5" t="s">
        <v>31</v>
      </c>
      <c r="C24" s="5" t="s">
        <v>341</v>
      </c>
      <c r="D24" s="5" t="s">
        <v>341</v>
      </c>
    </row>
    <row r="25" spans="1:4">
      <c r="A25" s="5" t="s">
        <v>65</v>
      </c>
      <c r="B25" s="5" t="s">
        <v>51</v>
      </c>
      <c r="C25" s="5" t="s">
        <v>341</v>
      </c>
      <c r="D25" s="5" t="s">
        <v>341</v>
      </c>
    </row>
    <row r="26" spans="1:4">
      <c r="A26" s="5" t="s">
        <v>68</v>
      </c>
      <c r="B26" s="5" t="s">
        <v>18</v>
      </c>
      <c r="C26" s="5" t="s">
        <v>344</v>
      </c>
      <c r="D26" s="5" t="s">
        <v>341</v>
      </c>
    </row>
    <row r="27" spans="1:4">
      <c r="A27" s="5" t="s">
        <v>69</v>
      </c>
      <c r="B27" s="5" t="s">
        <v>31</v>
      </c>
      <c r="C27" s="5" t="s">
        <v>344</v>
      </c>
      <c r="D27" s="5" t="s">
        <v>29</v>
      </c>
    </row>
    <row r="28" spans="1:4">
      <c r="A28" s="5" t="s">
        <v>70</v>
      </c>
      <c r="B28" s="5" t="s">
        <v>18</v>
      </c>
      <c r="C28" s="5" t="s">
        <v>344</v>
      </c>
      <c r="D28" s="5" t="s">
        <v>341</v>
      </c>
    </row>
    <row r="29" spans="1:4">
      <c r="A29" s="5" t="s">
        <v>71</v>
      </c>
      <c r="B29" s="5" t="s">
        <v>31</v>
      </c>
      <c r="C29" s="5" t="s">
        <v>341</v>
      </c>
      <c r="D29" s="5" t="s">
        <v>344</v>
      </c>
    </row>
    <row r="30" spans="1:4">
      <c r="A30" s="5" t="s">
        <v>72</v>
      </c>
      <c r="B30" s="5" t="s">
        <v>55</v>
      </c>
      <c r="C30" s="5" t="s">
        <v>344</v>
      </c>
      <c r="D30" s="5" t="s">
        <v>341</v>
      </c>
    </row>
    <row r="31" spans="1:4">
      <c r="A31" s="5" t="s">
        <v>73</v>
      </c>
      <c r="B31" s="5" t="s">
        <v>24</v>
      </c>
      <c r="C31" s="5" t="s">
        <v>341</v>
      </c>
      <c r="D31" s="5" t="s">
        <v>341</v>
      </c>
    </row>
    <row r="32" spans="1:4">
      <c r="A32" s="5" t="s">
        <v>75</v>
      </c>
      <c r="B32" s="5" t="s">
        <v>55</v>
      </c>
      <c r="C32" s="5" t="s">
        <v>29</v>
      </c>
      <c r="D32" s="5" t="s">
        <v>341</v>
      </c>
    </row>
    <row r="33" spans="1:4">
      <c r="A33" s="5" t="s">
        <v>78</v>
      </c>
      <c r="B33" s="5" t="s">
        <v>18</v>
      </c>
      <c r="C33" s="5" t="s">
        <v>341</v>
      </c>
      <c r="D33" s="5" t="s">
        <v>344</v>
      </c>
    </row>
    <row r="34" spans="1:4">
      <c r="A34" s="5" t="s">
        <v>79</v>
      </c>
      <c r="B34" s="5" t="s">
        <v>31</v>
      </c>
      <c r="C34" s="5" t="s">
        <v>341</v>
      </c>
      <c r="D34" s="5" t="s">
        <v>344</v>
      </c>
    </row>
    <row r="35" spans="1:4">
      <c r="A35" s="5" t="s">
        <v>80</v>
      </c>
      <c r="B35" s="5" t="s">
        <v>18</v>
      </c>
      <c r="C35" s="5" t="s">
        <v>344</v>
      </c>
      <c r="D35" s="5" t="s">
        <v>29</v>
      </c>
    </row>
    <row r="36" spans="1:4">
      <c r="A36" s="5" t="s">
        <v>81</v>
      </c>
      <c r="B36" s="5" t="s">
        <v>18</v>
      </c>
      <c r="C36" s="5" t="s">
        <v>344</v>
      </c>
      <c r="D36" s="5" t="s">
        <v>341</v>
      </c>
    </row>
    <row r="37" spans="1:4">
      <c r="A37" s="5" t="s">
        <v>82</v>
      </c>
      <c r="B37" s="5" t="s">
        <v>18</v>
      </c>
      <c r="C37" s="5" t="s">
        <v>344</v>
      </c>
      <c r="D37" s="5" t="s">
        <v>29</v>
      </c>
    </row>
    <row r="38" spans="1:4">
      <c r="A38" s="5" t="s">
        <v>84</v>
      </c>
      <c r="B38" s="5" t="s">
        <v>18</v>
      </c>
      <c r="C38" s="5" t="s">
        <v>344</v>
      </c>
      <c r="D38" s="5" t="s">
        <v>344</v>
      </c>
    </row>
    <row r="39" spans="1:4">
      <c r="A39" s="5" t="s">
        <v>85</v>
      </c>
      <c r="B39" s="5" t="s">
        <v>31</v>
      </c>
      <c r="C39" s="5" t="s">
        <v>341</v>
      </c>
      <c r="D39" s="5" t="s">
        <v>344</v>
      </c>
    </row>
    <row r="40" spans="1:4">
      <c r="A40" s="5" t="s">
        <v>86</v>
      </c>
      <c r="B40" s="5" t="s">
        <v>18</v>
      </c>
      <c r="C40" s="5" t="s">
        <v>344</v>
      </c>
      <c r="D40" s="5" t="s">
        <v>29</v>
      </c>
    </row>
    <row r="41" spans="1:4">
      <c r="A41" s="5" t="s">
        <v>88</v>
      </c>
      <c r="B41" s="5" t="s">
        <v>89</v>
      </c>
      <c r="C41" s="5" t="s">
        <v>344</v>
      </c>
      <c r="D41" s="5" t="s">
        <v>341</v>
      </c>
    </row>
    <row r="42" spans="1:4">
      <c r="A42" s="5" t="s">
        <v>90</v>
      </c>
      <c r="B42" s="5" t="s">
        <v>18</v>
      </c>
      <c r="C42" s="5" t="s">
        <v>341</v>
      </c>
      <c r="D42" s="5" t="s">
        <v>344</v>
      </c>
    </row>
    <row r="43" spans="1:4">
      <c r="A43" s="5" t="s">
        <v>92</v>
      </c>
      <c r="B43" s="5" t="s">
        <v>31</v>
      </c>
      <c r="C43" s="5" t="s">
        <v>341</v>
      </c>
      <c r="D43" s="5" t="s">
        <v>344</v>
      </c>
    </row>
    <row r="44" spans="1:4">
      <c r="A44" s="5" t="s">
        <v>93</v>
      </c>
      <c r="B44" s="5" t="s">
        <v>51</v>
      </c>
      <c r="C44" s="5" t="s">
        <v>341</v>
      </c>
      <c r="D44" s="5" t="s">
        <v>341</v>
      </c>
    </row>
    <row r="45" spans="1:4">
      <c r="A45" s="5" t="s">
        <v>94</v>
      </c>
      <c r="B45" s="5" t="s">
        <v>18</v>
      </c>
      <c r="C45" s="5" t="s">
        <v>341</v>
      </c>
      <c r="D45" s="5" t="s">
        <v>29</v>
      </c>
    </row>
    <row r="46" spans="1:4">
      <c r="A46" s="5" t="s">
        <v>95</v>
      </c>
      <c r="B46" s="5" t="s">
        <v>18</v>
      </c>
      <c r="C46" s="5" t="s">
        <v>344</v>
      </c>
      <c r="D46" s="5" t="s">
        <v>341</v>
      </c>
    </row>
    <row r="47" spans="1:4">
      <c r="A47" s="5" t="s">
        <v>96</v>
      </c>
      <c r="B47" s="5" t="s">
        <v>89</v>
      </c>
      <c r="C47" s="5" t="s">
        <v>341</v>
      </c>
      <c r="D47" s="5" t="s">
        <v>341</v>
      </c>
    </row>
    <row r="48" spans="1:4">
      <c r="A48" s="5" t="s">
        <v>97</v>
      </c>
      <c r="B48" s="5" t="s">
        <v>31</v>
      </c>
      <c r="C48" s="5" t="s">
        <v>341</v>
      </c>
      <c r="D48" s="5" t="s">
        <v>344</v>
      </c>
    </row>
    <row r="49" spans="1:4">
      <c r="A49" s="5" t="s">
        <v>98</v>
      </c>
      <c r="B49" s="5" t="s">
        <v>55</v>
      </c>
      <c r="C49" s="5" t="s">
        <v>341</v>
      </c>
      <c r="D49" s="5" t="s">
        <v>341</v>
      </c>
    </row>
    <row r="50" spans="1:4">
      <c r="A50" s="5" t="s">
        <v>99</v>
      </c>
      <c r="B50" s="5" t="s">
        <v>31</v>
      </c>
      <c r="C50" s="5" t="s">
        <v>344</v>
      </c>
      <c r="D50" s="5" t="s">
        <v>29</v>
      </c>
    </row>
    <row r="51" spans="1:4">
      <c r="A51" s="5" t="s">
        <v>100</v>
      </c>
      <c r="B51" s="5" t="s">
        <v>31</v>
      </c>
      <c r="C51" s="5" t="s">
        <v>344</v>
      </c>
      <c r="D51" s="5" t="s">
        <v>29</v>
      </c>
    </row>
    <row r="52" spans="1:4">
      <c r="A52" s="5" t="s">
        <v>101</v>
      </c>
      <c r="B52" s="5" t="s">
        <v>55</v>
      </c>
      <c r="C52" s="5" t="s">
        <v>344</v>
      </c>
      <c r="D52" s="5" t="s">
        <v>344</v>
      </c>
    </row>
    <row r="53" spans="1:4">
      <c r="A53" s="5" t="s">
        <v>102</v>
      </c>
      <c r="B53" s="5" t="s">
        <v>55</v>
      </c>
      <c r="C53" s="5" t="s">
        <v>341</v>
      </c>
      <c r="D53" s="5" t="s">
        <v>341</v>
      </c>
    </row>
    <row r="54" spans="1:4">
      <c r="A54" s="5" t="s">
        <v>103</v>
      </c>
      <c r="B54" s="5" t="s">
        <v>51</v>
      </c>
      <c r="C54" s="5" t="s">
        <v>29</v>
      </c>
      <c r="D54" s="5" t="s">
        <v>341</v>
      </c>
    </row>
    <row r="55" spans="1:4">
      <c r="A55" s="5" t="s">
        <v>106</v>
      </c>
      <c r="B55" s="5" t="s">
        <v>51</v>
      </c>
      <c r="C55" s="5" t="s">
        <v>29</v>
      </c>
      <c r="D55" s="5" t="s">
        <v>341</v>
      </c>
    </row>
    <row r="56" spans="1:4">
      <c r="A56" s="5" t="s">
        <v>107</v>
      </c>
      <c r="B56" s="5" t="s">
        <v>31</v>
      </c>
      <c r="C56" s="5" t="s">
        <v>344</v>
      </c>
      <c r="D56" s="5" t="s">
        <v>344</v>
      </c>
    </row>
    <row r="57" spans="1:4">
      <c r="A57" s="5" t="s">
        <v>108</v>
      </c>
      <c r="B57" s="5" t="s">
        <v>18</v>
      </c>
      <c r="C57" s="5" t="s">
        <v>29</v>
      </c>
      <c r="D57" s="5" t="s">
        <v>29</v>
      </c>
    </row>
    <row r="58" spans="1:4">
      <c r="A58" s="5" t="s">
        <v>109</v>
      </c>
      <c r="B58" s="5" t="s">
        <v>55</v>
      </c>
      <c r="C58" s="5" t="s">
        <v>344</v>
      </c>
      <c r="D58" s="5" t="s">
        <v>341</v>
      </c>
    </row>
    <row r="59" spans="1:4">
      <c r="A59" s="5" t="s">
        <v>112</v>
      </c>
      <c r="B59" s="5" t="s">
        <v>89</v>
      </c>
      <c r="C59" s="5" t="s">
        <v>344</v>
      </c>
      <c r="D59" s="5" t="s">
        <v>341</v>
      </c>
    </row>
    <row r="60" spans="1:4">
      <c r="A60" s="5" t="s">
        <v>113</v>
      </c>
      <c r="B60" s="5" t="s">
        <v>31</v>
      </c>
      <c r="C60" s="5" t="s">
        <v>344</v>
      </c>
      <c r="D60" s="5" t="s">
        <v>344</v>
      </c>
    </row>
    <row r="61" spans="1:4">
      <c r="A61" s="5" t="s">
        <v>114</v>
      </c>
      <c r="B61" s="5" t="s">
        <v>24</v>
      </c>
      <c r="C61" s="5" t="s">
        <v>344</v>
      </c>
      <c r="D61" s="5" t="s">
        <v>341</v>
      </c>
    </row>
    <row r="62" spans="1:4">
      <c r="A62" s="5" t="s">
        <v>115</v>
      </c>
      <c r="B62" s="5" t="s">
        <v>18</v>
      </c>
      <c r="C62" s="5" t="s">
        <v>344</v>
      </c>
      <c r="D62" s="5" t="s">
        <v>344</v>
      </c>
    </row>
    <row r="63" spans="1:4">
      <c r="A63" s="5" t="s">
        <v>117</v>
      </c>
      <c r="B63" s="5" t="s">
        <v>118</v>
      </c>
      <c r="C63" s="5" t="s">
        <v>29</v>
      </c>
      <c r="D63" s="5" t="s">
        <v>341</v>
      </c>
    </row>
    <row r="64" spans="1:4">
      <c r="A64" s="5" t="s">
        <v>119</v>
      </c>
      <c r="B64" s="5" t="s">
        <v>18</v>
      </c>
      <c r="C64" s="5" t="s">
        <v>29</v>
      </c>
      <c r="D64" s="5" t="s">
        <v>341</v>
      </c>
    </row>
    <row r="65" spans="1:4">
      <c r="A65" s="5" t="s">
        <v>120</v>
      </c>
      <c r="B65" s="5" t="s">
        <v>18</v>
      </c>
      <c r="C65" s="5" t="s">
        <v>344</v>
      </c>
      <c r="D65" s="5" t="s">
        <v>29</v>
      </c>
    </row>
    <row r="66" spans="1:4">
      <c r="A66" s="5" t="s">
        <v>121</v>
      </c>
      <c r="B66" s="5" t="s">
        <v>55</v>
      </c>
      <c r="C66" s="5" t="s">
        <v>29</v>
      </c>
      <c r="D66" s="5" t="s">
        <v>29</v>
      </c>
    </row>
    <row r="67" spans="1:4">
      <c r="A67" s="5" t="s">
        <v>122</v>
      </c>
      <c r="B67" s="5" t="s">
        <v>123</v>
      </c>
      <c r="C67" s="5" t="s">
        <v>29</v>
      </c>
      <c r="D67" s="5" t="s">
        <v>29</v>
      </c>
    </row>
    <row r="68" spans="1:4">
      <c r="A68" s="5" t="s">
        <v>125</v>
      </c>
      <c r="B68" s="5" t="s">
        <v>31</v>
      </c>
      <c r="C68" s="5" t="s">
        <v>29</v>
      </c>
      <c r="D68" s="5" t="s">
        <v>29</v>
      </c>
    </row>
    <row r="69" spans="1:4">
      <c r="A69" s="5" t="s">
        <v>126</v>
      </c>
      <c r="B69" s="5" t="s">
        <v>55</v>
      </c>
      <c r="C69" s="5" t="s">
        <v>29</v>
      </c>
      <c r="D69" s="5" t="s">
        <v>341</v>
      </c>
    </row>
    <row r="70" spans="1:4">
      <c r="A70" s="5" t="s">
        <v>127</v>
      </c>
      <c r="B70" s="5" t="s">
        <v>31</v>
      </c>
      <c r="C70" s="5" t="s">
        <v>29</v>
      </c>
      <c r="D70" s="5" t="s">
        <v>341</v>
      </c>
    </row>
    <row r="71" spans="1:4">
      <c r="A71" s="5" t="s">
        <v>128</v>
      </c>
      <c r="B71" s="5" t="s">
        <v>55</v>
      </c>
      <c r="C71" s="5" t="s">
        <v>344</v>
      </c>
      <c r="D71" s="5" t="s">
        <v>341</v>
      </c>
    </row>
    <row r="72" spans="1:4">
      <c r="A72" s="5" t="s">
        <v>129</v>
      </c>
      <c r="B72" s="5" t="s">
        <v>18</v>
      </c>
      <c r="C72" s="5" t="s">
        <v>344</v>
      </c>
      <c r="D72" s="5" t="s">
        <v>29</v>
      </c>
    </row>
    <row r="73" spans="1:4">
      <c r="A73" s="5" t="s">
        <v>130</v>
      </c>
      <c r="B73" s="5" t="s">
        <v>131</v>
      </c>
      <c r="C73" s="5" t="s">
        <v>29</v>
      </c>
      <c r="D73" s="5" t="s">
        <v>29</v>
      </c>
    </row>
    <row r="74" spans="1:4">
      <c r="A74" s="5" t="s">
        <v>132</v>
      </c>
      <c r="B74" s="5" t="s">
        <v>51</v>
      </c>
      <c r="C74" s="5" t="s">
        <v>29</v>
      </c>
      <c r="D74" s="5" t="s">
        <v>341</v>
      </c>
    </row>
    <row r="75" spans="1:4">
      <c r="A75" s="5" t="s">
        <v>133</v>
      </c>
      <c r="B75" s="5" t="s">
        <v>18</v>
      </c>
      <c r="C75" s="5" t="s">
        <v>29</v>
      </c>
      <c r="D75" s="5" t="s">
        <v>341</v>
      </c>
    </row>
    <row r="76" spans="1:4">
      <c r="A76" s="5" t="s">
        <v>134</v>
      </c>
      <c r="B76" s="5" t="s">
        <v>18</v>
      </c>
      <c r="C76" s="5" t="s">
        <v>29</v>
      </c>
      <c r="D76" s="5" t="s">
        <v>341</v>
      </c>
    </row>
    <row r="77" spans="1:4">
      <c r="A77" s="5" t="s">
        <v>135</v>
      </c>
      <c r="B77" s="5" t="s">
        <v>51</v>
      </c>
      <c r="C77" s="5" t="s">
        <v>29</v>
      </c>
      <c r="D77" s="5" t="s">
        <v>341</v>
      </c>
    </row>
    <row r="78" spans="1:4">
      <c r="A78" s="5" t="s">
        <v>136</v>
      </c>
      <c r="B78" s="5" t="s">
        <v>18</v>
      </c>
      <c r="C78" s="5" t="s">
        <v>344</v>
      </c>
      <c r="D78" s="5" t="s">
        <v>29</v>
      </c>
    </row>
    <row r="79" spans="1:4">
      <c r="A79" s="5" t="s">
        <v>138</v>
      </c>
      <c r="B79" s="5" t="s">
        <v>18</v>
      </c>
      <c r="C79" s="5" t="s">
        <v>29</v>
      </c>
      <c r="D79" s="5" t="s">
        <v>29</v>
      </c>
    </row>
    <row r="80" spans="1:4">
      <c r="A80" s="5" t="s">
        <v>139</v>
      </c>
      <c r="B80" s="5" t="s">
        <v>31</v>
      </c>
      <c r="C80" s="5" t="s">
        <v>344</v>
      </c>
      <c r="D80" s="5" t="s">
        <v>344</v>
      </c>
    </row>
    <row r="81" spans="1:4">
      <c r="A81" s="5" t="s">
        <v>140</v>
      </c>
      <c r="B81" s="5" t="s">
        <v>18</v>
      </c>
      <c r="C81" s="5" t="s">
        <v>29</v>
      </c>
      <c r="D81" s="5" t="s">
        <v>29</v>
      </c>
    </row>
    <row r="82" spans="1:4">
      <c r="A82" s="5" t="s">
        <v>141</v>
      </c>
      <c r="B82" s="5" t="s">
        <v>31</v>
      </c>
      <c r="C82" s="5" t="s">
        <v>341</v>
      </c>
      <c r="D82" s="5" t="s">
        <v>341</v>
      </c>
    </row>
    <row r="83" spans="1:4">
      <c r="A83" s="5" t="s">
        <v>142</v>
      </c>
      <c r="B83" s="5" t="s">
        <v>51</v>
      </c>
      <c r="C83" s="5" t="s">
        <v>344</v>
      </c>
      <c r="D83" s="5" t="s">
        <v>341</v>
      </c>
    </row>
    <row r="84" spans="1:4">
      <c r="A84" s="5" t="s">
        <v>143</v>
      </c>
      <c r="B84" s="5" t="s">
        <v>31</v>
      </c>
      <c r="C84" s="5" t="s">
        <v>29</v>
      </c>
      <c r="D84" s="5" t="s">
        <v>341</v>
      </c>
    </row>
    <row r="85" spans="1:4">
      <c r="A85" s="5" t="s">
        <v>144</v>
      </c>
      <c r="B85" s="5" t="s">
        <v>18</v>
      </c>
      <c r="C85" s="5" t="s">
        <v>29</v>
      </c>
      <c r="D85" s="5" t="s">
        <v>341</v>
      </c>
    </row>
    <row r="86" spans="1:4">
      <c r="A86" s="5" t="s">
        <v>145</v>
      </c>
      <c r="B86" s="5" t="s">
        <v>55</v>
      </c>
      <c r="C86" s="5" t="s">
        <v>344</v>
      </c>
      <c r="D86" s="5" t="s">
        <v>344</v>
      </c>
    </row>
    <row r="87" spans="1:4">
      <c r="A87" s="5" t="s">
        <v>146</v>
      </c>
      <c r="B87" s="5" t="s">
        <v>51</v>
      </c>
      <c r="C87" s="5" t="s">
        <v>29</v>
      </c>
      <c r="D87" s="5" t="s">
        <v>341</v>
      </c>
    </row>
    <row r="88" spans="1:4">
      <c r="A88" s="5" t="s">
        <v>147</v>
      </c>
      <c r="B88" s="5" t="s">
        <v>51</v>
      </c>
      <c r="C88" s="5" t="s">
        <v>29</v>
      </c>
      <c r="D88" s="5" t="s">
        <v>341</v>
      </c>
    </row>
    <row r="89" spans="1:4">
      <c r="A89" s="5" t="s">
        <v>148</v>
      </c>
      <c r="B89" s="5" t="s">
        <v>31</v>
      </c>
      <c r="C89" s="5" t="s">
        <v>344</v>
      </c>
      <c r="D89" s="5" t="s">
        <v>344</v>
      </c>
    </row>
    <row r="90" spans="1:4">
      <c r="A90" s="5" t="s">
        <v>149</v>
      </c>
      <c r="B90" s="5" t="s">
        <v>18</v>
      </c>
      <c r="C90" s="5" t="s">
        <v>344</v>
      </c>
      <c r="D90" s="5" t="s">
        <v>341</v>
      </c>
    </row>
    <row r="91" spans="1:4">
      <c r="A91" s="5" t="s">
        <v>151</v>
      </c>
      <c r="B91" s="5" t="s">
        <v>18</v>
      </c>
      <c r="C91" s="5" t="s">
        <v>344</v>
      </c>
      <c r="D91" s="5" t="s">
        <v>341</v>
      </c>
    </row>
    <row r="92" spans="1:4">
      <c r="A92" s="5" t="s">
        <v>152</v>
      </c>
      <c r="B92" s="5" t="s">
        <v>24</v>
      </c>
      <c r="C92" s="5" t="s">
        <v>29</v>
      </c>
      <c r="D92" s="5" t="s">
        <v>341</v>
      </c>
    </row>
    <row r="93" spans="1:4">
      <c r="A93" s="5" t="s">
        <v>153</v>
      </c>
      <c r="B93" s="5" t="s">
        <v>31</v>
      </c>
      <c r="C93" s="5" t="s">
        <v>29</v>
      </c>
      <c r="D93" s="5" t="s">
        <v>341</v>
      </c>
    </row>
    <row r="94" spans="1:4">
      <c r="A94" s="5" t="s">
        <v>154</v>
      </c>
      <c r="B94" s="5" t="s">
        <v>55</v>
      </c>
      <c r="C94" s="5" t="s">
        <v>344</v>
      </c>
      <c r="D94" s="5" t="s">
        <v>341</v>
      </c>
    </row>
    <row r="95" spans="1:4">
      <c r="A95" s="5" t="s">
        <v>155</v>
      </c>
      <c r="B95" s="5" t="s">
        <v>55</v>
      </c>
      <c r="C95" s="5" t="s">
        <v>29</v>
      </c>
      <c r="D95" s="5" t="s">
        <v>341</v>
      </c>
    </row>
    <row r="96" spans="1:4">
      <c r="A96" s="5" t="s">
        <v>156</v>
      </c>
      <c r="B96" s="5" t="s">
        <v>157</v>
      </c>
      <c r="C96" s="5" t="s">
        <v>344</v>
      </c>
      <c r="D96" s="5" t="s">
        <v>341</v>
      </c>
    </row>
    <row r="97" spans="1:4">
      <c r="A97" s="5" t="s">
        <v>158</v>
      </c>
      <c r="B97" s="5" t="s">
        <v>159</v>
      </c>
      <c r="C97" s="5" t="s">
        <v>29</v>
      </c>
      <c r="D97" s="5" t="s">
        <v>29</v>
      </c>
    </row>
    <row r="98" spans="1:4">
      <c r="A98" s="5" t="s">
        <v>160</v>
      </c>
      <c r="B98" s="5" t="s">
        <v>18</v>
      </c>
      <c r="C98" s="5" t="s">
        <v>344</v>
      </c>
      <c r="D98" s="5" t="s">
        <v>344</v>
      </c>
    </row>
    <row r="99" spans="1:4">
      <c r="A99" s="5" t="s">
        <v>161</v>
      </c>
      <c r="B99" s="5" t="s">
        <v>31</v>
      </c>
      <c r="C99" s="5" t="s">
        <v>29</v>
      </c>
      <c r="D99" s="5" t="s">
        <v>341</v>
      </c>
    </row>
    <row r="100" spans="1:4">
      <c r="A100" s="5" t="s">
        <v>162</v>
      </c>
      <c r="B100" s="5" t="s">
        <v>31</v>
      </c>
      <c r="C100" s="5" t="s">
        <v>341</v>
      </c>
      <c r="D100" s="5" t="s">
        <v>344</v>
      </c>
    </row>
    <row r="101" spans="1:4">
      <c r="A101" s="5" t="s">
        <v>163</v>
      </c>
      <c r="B101" s="5" t="s">
        <v>18</v>
      </c>
      <c r="C101" s="5" t="s">
        <v>29</v>
      </c>
      <c r="D101" s="5" t="s">
        <v>341</v>
      </c>
    </row>
    <row r="102" spans="1:4">
      <c r="A102" s="5" t="s">
        <v>164</v>
      </c>
      <c r="B102" s="5" t="s">
        <v>51</v>
      </c>
      <c r="C102" s="5" t="s">
        <v>29</v>
      </c>
      <c r="D102" s="5" t="s">
        <v>341</v>
      </c>
    </row>
    <row r="103" spans="1:4">
      <c r="A103" s="5" t="s">
        <v>165</v>
      </c>
      <c r="B103" s="5" t="s">
        <v>89</v>
      </c>
      <c r="C103" s="5" t="s">
        <v>29</v>
      </c>
      <c r="D103" s="5" t="s">
        <v>341</v>
      </c>
    </row>
    <row r="104" spans="1:4">
      <c r="A104" s="5" t="s">
        <v>166</v>
      </c>
      <c r="B104" s="5" t="s">
        <v>18</v>
      </c>
      <c r="C104" s="5" t="s">
        <v>29</v>
      </c>
      <c r="D104" s="5" t="s">
        <v>341</v>
      </c>
    </row>
    <row r="105" spans="1:4">
      <c r="A105" s="5" t="s">
        <v>168</v>
      </c>
      <c r="B105" s="5" t="s">
        <v>18</v>
      </c>
      <c r="C105" s="5" t="s">
        <v>29</v>
      </c>
      <c r="D105" s="5" t="s">
        <v>341</v>
      </c>
    </row>
    <row r="106" spans="1:4">
      <c r="A106" s="5" t="s">
        <v>169</v>
      </c>
      <c r="B106" s="5" t="s">
        <v>18</v>
      </c>
      <c r="C106" s="5" t="s">
        <v>29</v>
      </c>
      <c r="D106" s="5" t="s">
        <v>341</v>
      </c>
    </row>
    <row r="107" spans="1:4">
      <c r="A107" s="5" t="s">
        <v>170</v>
      </c>
      <c r="B107" s="5" t="s">
        <v>55</v>
      </c>
      <c r="C107" s="5" t="s">
        <v>344</v>
      </c>
      <c r="D107" s="5" t="s">
        <v>341</v>
      </c>
    </row>
    <row r="108" spans="1:4">
      <c r="A108" s="5" t="s">
        <v>171</v>
      </c>
      <c r="B108" s="5" t="s">
        <v>31</v>
      </c>
      <c r="C108" s="5" t="s">
        <v>29</v>
      </c>
      <c r="D108" s="5" t="s">
        <v>29</v>
      </c>
    </row>
    <row r="109" spans="1:4">
      <c r="A109" s="5" t="s">
        <v>172</v>
      </c>
      <c r="B109" s="5" t="s">
        <v>51</v>
      </c>
      <c r="C109" s="5" t="s">
        <v>29</v>
      </c>
      <c r="D109" s="5" t="s">
        <v>341</v>
      </c>
    </row>
    <row r="110" spans="1:4">
      <c r="A110" s="5" t="s">
        <v>173</v>
      </c>
      <c r="B110" s="5" t="s">
        <v>18</v>
      </c>
      <c r="C110" s="5" t="s">
        <v>29</v>
      </c>
      <c r="D110" s="5" t="s">
        <v>341</v>
      </c>
    </row>
    <row r="111" spans="1:4">
      <c r="A111" s="5" t="s">
        <v>174</v>
      </c>
      <c r="B111" s="5" t="s">
        <v>175</v>
      </c>
      <c r="C111" s="5" t="s">
        <v>29</v>
      </c>
      <c r="D111" s="5" t="s">
        <v>344</v>
      </c>
    </row>
    <row r="112" spans="1:4">
      <c r="A112" s="5" t="s">
        <v>176</v>
      </c>
      <c r="B112" s="5" t="s">
        <v>89</v>
      </c>
      <c r="C112" s="5" t="s">
        <v>29</v>
      </c>
      <c r="D112" s="5" t="s">
        <v>341</v>
      </c>
    </row>
    <row r="113" spans="1:4">
      <c r="A113" s="5" t="s">
        <v>177</v>
      </c>
      <c r="B113" s="5" t="s">
        <v>31</v>
      </c>
      <c r="C113" s="5" t="s">
        <v>29</v>
      </c>
      <c r="D113" s="5" t="s">
        <v>341</v>
      </c>
    </row>
    <row r="114" spans="1:4">
      <c r="A114" s="5" t="s">
        <v>178</v>
      </c>
      <c r="B114" s="5" t="s">
        <v>18</v>
      </c>
      <c r="C114" s="5" t="s">
        <v>29</v>
      </c>
      <c r="D114" s="5" t="s">
        <v>341</v>
      </c>
    </row>
    <row r="115" spans="1:4">
      <c r="A115" s="5" t="s">
        <v>179</v>
      </c>
      <c r="B115" s="5" t="s">
        <v>18</v>
      </c>
      <c r="C115" s="5" t="s">
        <v>344</v>
      </c>
      <c r="D115" s="5" t="s">
        <v>341</v>
      </c>
    </row>
    <row r="116" spans="1:4">
      <c r="A116" s="5" t="s">
        <v>180</v>
      </c>
      <c r="B116" s="5" t="s">
        <v>181</v>
      </c>
      <c r="C116" s="5" t="s">
        <v>29</v>
      </c>
      <c r="D116" s="5" t="s">
        <v>341</v>
      </c>
    </row>
    <row r="117" spans="1:4">
      <c r="A117" s="5" t="s">
        <v>183</v>
      </c>
      <c r="B117" s="5" t="s">
        <v>18</v>
      </c>
      <c r="C117" s="5" t="s">
        <v>29</v>
      </c>
      <c r="D117" s="5" t="s">
        <v>341</v>
      </c>
    </row>
    <row r="118" spans="1:4">
      <c r="A118" s="5" t="s">
        <v>184</v>
      </c>
      <c r="B118" s="5" t="s">
        <v>18</v>
      </c>
      <c r="C118" s="5" t="s">
        <v>341</v>
      </c>
      <c r="D118" s="5" t="s">
        <v>29</v>
      </c>
    </row>
    <row r="119" spans="1:4">
      <c r="A119" s="5" t="s">
        <v>185</v>
      </c>
      <c r="B119" s="5" t="s">
        <v>18</v>
      </c>
      <c r="C119" s="5" t="s">
        <v>344</v>
      </c>
      <c r="D119" s="5" t="s">
        <v>341</v>
      </c>
    </row>
    <row r="120" spans="1:4">
      <c r="A120" s="5" t="s">
        <v>186</v>
      </c>
      <c r="B120" s="5" t="s">
        <v>24</v>
      </c>
      <c r="C120" s="5" t="s">
        <v>29</v>
      </c>
      <c r="D120" s="5" t="s">
        <v>29</v>
      </c>
    </row>
    <row r="121" spans="1:4">
      <c r="A121" s="5" t="s">
        <v>187</v>
      </c>
      <c r="B121" s="5" t="s">
        <v>18</v>
      </c>
      <c r="C121" s="5" t="s">
        <v>29</v>
      </c>
      <c r="D121" s="5" t="s">
        <v>341</v>
      </c>
    </row>
    <row r="122" spans="1:4">
      <c r="A122" s="5" t="s">
        <v>188</v>
      </c>
      <c r="B122" s="5" t="s">
        <v>18</v>
      </c>
      <c r="C122" s="5" t="s">
        <v>29</v>
      </c>
      <c r="D122" s="5" t="s">
        <v>341</v>
      </c>
    </row>
    <row r="123" spans="1:4">
      <c r="A123" s="5" t="s">
        <v>189</v>
      </c>
      <c r="B123" s="5" t="s">
        <v>18</v>
      </c>
      <c r="C123" s="5" t="s">
        <v>29</v>
      </c>
      <c r="D123" s="5" t="s">
        <v>341</v>
      </c>
    </row>
    <row r="124" spans="1:4">
      <c r="A124" s="5" t="s">
        <v>190</v>
      </c>
      <c r="B124" s="5" t="s">
        <v>55</v>
      </c>
      <c r="C124" s="5" t="s">
        <v>29</v>
      </c>
      <c r="D124" s="5" t="s">
        <v>341</v>
      </c>
    </row>
    <row r="125" spans="1:4">
      <c r="A125" s="5" t="s">
        <v>191</v>
      </c>
      <c r="B125" s="5" t="s">
        <v>18</v>
      </c>
      <c r="C125" s="5" t="s">
        <v>344</v>
      </c>
      <c r="D125" s="5" t="s">
        <v>341</v>
      </c>
    </row>
    <row r="126" spans="1:4">
      <c r="A126" s="5" t="s">
        <v>192</v>
      </c>
      <c r="B126" s="5" t="s">
        <v>89</v>
      </c>
      <c r="C126" s="5" t="s">
        <v>29</v>
      </c>
      <c r="D126" s="5" t="s">
        <v>341</v>
      </c>
    </row>
    <row r="127" spans="1:4">
      <c r="A127" s="5" t="s">
        <v>193</v>
      </c>
      <c r="B127" s="5" t="s">
        <v>18</v>
      </c>
      <c r="C127" s="5" t="s">
        <v>29</v>
      </c>
      <c r="D127" s="5" t="s">
        <v>341</v>
      </c>
    </row>
    <row r="128" spans="1:4">
      <c r="A128" s="5" t="s">
        <v>195</v>
      </c>
      <c r="B128" s="5" t="s">
        <v>31</v>
      </c>
      <c r="C128" s="5" t="s">
        <v>29</v>
      </c>
      <c r="D128" s="5" t="s">
        <v>29</v>
      </c>
    </row>
    <row r="129" spans="1:4">
      <c r="A129" s="5" t="s">
        <v>196</v>
      </c>
      <c r="B129" s="5" t="s">
        <v>31</v>
      </c>
      <c r="C129" s="5" t="s">
        <v>341</v>
      </c>
      <c r="D129" s="5" t="s">
        <v>344</v>
      </c>
    </row>
    <row r="130" spans="1:4">
      <c r="A130" s="5" t="s">
        <v>197</v>
      </c>
      <c r="B130" s="5" t="s">
        <v>31</v>
      </c>
      <c r="C130" s="5" t="s">
        <v>341</v>
      </c>
      <c r="D130" s="5" t="s">
        <v>29</v>
      </c>
    </row>
    <row r="131" spans="1:4">
      <c r="A131" s="5" t="s">
        <v>198</v>
      </c>
      <c r="B131" s="5" t="s">
        <v>18</v>
      </c>
      <c r="C131" s="5" t="s">
        <v>344</v>
      </c>
      <c r="D131" s="5" t="s">
        <v>344</v>
      </c>
    </row>
    <row r="132" spans="1:4">
      <c r="A132" s="5" t="s">
        <v>199</v>
      </c>
      <c r="B132" s="5" t="s">
        <v>55</v>
      </c>
      <c r="C132" s="5" t="s">
        <v>29</v>
      </c>
      <c r="D132" s="5" t="s">
        <v>341</v>
      </c>
    </row>
    <row r="133" spans="1:4">
      <c r="A133" s="5" t="s">
        <v>200</v>
      </c>
      <c r="B133" s="5" t="s">
        <v>18</v>
      </c>
      <c r="C133" s="5" t="s">
        <v>29</v>
      </c>
      <c r="D133" s="5" t="s">
        <v>341</v>
      </c>
    </row>
    <row r="134" spans="1:4">
      <c r="A134" s="5" t="s">
        <v>201</v>
      </c>
      <c r="B134" s="5" t="s">
        <v>202</v>
      </c>
      <c r="C134" s="5" t="s">
        <v>29</v>
      </c>
      <c r="D134" s="5" t="s">
        <v>341</v>
      </c>
    </row>
    <row r="135" spans="1:4">
      <c r="A135" s="5" t="s">
        <v>203</v>
      </c>
      <c r="B135" s="5" t="s">
        <v>18</v>
      </c>
      <c r="C135" s="5" t="s">
        <v>29</v>
      </c>
      <c r="D135" s="5" t="s">
        <v>341</v>
      </c>
    </row>
    <row r="136" spans="1:4">
      <c r="A136" s="5" t="s">
        <v>205</v>
      </c>
      <c r="B136" s="5" t="s">
        <v>51</v>
      </c>
      <c r="C136" s="5" t="s">
        <v>29</v>
      </c>
      <c r="D136" s="5" t="s">
        <v>341</v>
      </c>
    </row>
    <row r="137" spans="1:4">
      <c r="A137" s="5" t="s">
        <v>206</v>
      </c>
      <c r="B137" s="5" t="s">
        <v>31</v>
      </c>
      <c r="C137" s="5" t="s">
        <v>29</v>
      </c>
      <c r="D137" s="5" t="s">
        <v>29</v>
      </c>
    </row>
    <row r="138" spans="1:4">
      <c r="A138" s="5" t="s">
        <v>207</v>
      </c>
      <c r="B138" s="5" t="s">
        <v>31</v>
      </c>
      <c r="C138" s="5" t="s">
        <v>29</v>
      </c>
      <c r="D138" s="5" t="s">
        <v>29</v>
      </c>
    </row>
    <row r="139" spans="1:4">
      <c r="A139" s="5" t="s">
        <v>209</v>
      </c>
      <c r="B139" s="5" t="s">
        <v>51</v>
      </c>
      <c r="C139" s="5" t="s">
        <v>341</v>
      </c>
      <c r="D139" s="5" t="s">
        <v>341</v>
      </c>
    </row>
    <row r="140" spans="1:4">
      <c r="A140" s="5" t="s">
        <v>210</v>
      </c>
      <c r="B140" s="5" t="s">
        <v>123</v>
      </c>
      <c r="C140" s="5" t="s">
        <v>29</v>
      </c>
      <c r="D140" s="5" t="s">
        <v>341</v>
      </c>
    </row>
    <row r="141" spans="1:4">
      <c r="A141" s="5" t="s">
        <v>211</v>
      </c>
      <c r="B141" s="5" t="s">
        <v>89</v>
      </c>
      <c r="C141" s="5" t="s">
        <v>344</v>
      </c>
      <c r="D141" s="5" t="s">
        <v>344</v>
      </c>
    </row>
    <row r="142" spans="1:4">
      <c r="A142" s="5" t="s">
        <v>212</v>
      </c>
      <c r="B142" s="5" t="s">
        <v>55</v>
      </c>
      <c r="C142" s="5" t="s">
        <v>344</v>
      </c>
      <c r="D142" s="5" t="s">
        <v>344</v>
      </c>
    </row>
    <row r="143" spans="1:4">
      <c r="A143" s="5" t="s">
        <v>213</v>
      </c>
      <c r="B143" s="5" t="s">
        <v>18</v>
      </c>
      <c r="C143" s="5" t="s">
        <v>344</v>
      </c>
      <c r="D143" s="5" t="s">
        <v>29</v>
      </c>
    </row>
    <row r="144" spans="1:4">
      <c r="A144" s="5" t="s">
        <v>214</v>
      </c>
      <c r="B144" s="5" t="s">
        <v>18</v>
      </c>
      <c r="C144" s="5" t="s">
        <v>29</v>
      </c>
      <c r="D144" s="5" t="s">
        <v>29</v>
      </c>
    </row>
    <row r="145" spans="1:4">
      <c r="A145" s="5" t="s">
        <v>215</v>
      </c>
      <c r="B145" s="5" t="s">
        <v>18</v>
      </c>
      <c r="C145" s="5" t="s">
        <v>344</v>
      </c>
      <c r="D145" s="5" t="s">
        <v>29</v>
      </c>
    </row>
    <row r="146" spans="1:4">
      <c r="A146" s="5" t="s">
        <v>216</v>
      </c>
      <c r="B146" s="5" t="s">
        <v>55</v>
      </c>
      <c r="C146" s="5" t="s">
        <v>341</v>
      </c>
      <c r="D146" s="5" t="s">
        <v>341</v>
      </c>
    </row>
    <row r="147" spans="1:4">
      <c r="A147" s="5" t="s">
        <v>217</v>
      </c>
      <c r="B147" s="5" t="s">
        <v>18</v>
      </c>
      <c r="C147" s="5" t="s">
        <v>341</v>
      </c>
      <c r="D147" s="5" t="s">
        <v>341</v>
      </c>
    </row>
    <row r="148" spans="1:4">
      <c r="A148" s="5" t="s">
        <v>218</v>
      </c>
      <c r="B148" s="5" t="s">
        <v>55</v>
      </c>
      <c r="C148" s="5" t="s">
        <v>344</v>
      </c>
      <c r="D148" s="5" t="s">
        <v>341</v>
      </c>
    </row>
    <row r="149" spans="1:4">
      <c r="A149" s="5" t="s">
        <v>219</v>
      </c>
      <c r="B149" s="5" t="s">
        <v>51</v>
      </c>
      <c r="C149" s="5" t="s">
        <v>29</v>
      </c>
      <c r="D149" s="5" t="s">
        <v>29</v>
      </c>
    </row>
    <row r="150" spans="1:4">
      <c r="A150" s="5" t="s">
        <v>220</v>
      </c>
      <c r="B150" s="5" t="s">
        <v>131</v>
      </c>
      <c r="C150" s="5" t="s">
        <v>341</v>
      </c>
      <c r="D150" s="5" t="s">
        <v>341</v>
      </c>
    </row>
    <row r="151" spans="1:4">
      <c r="A151" s="5" t="s">
        <v>221</v>
      </c>
      <c r="B151" s="5" t="s">
        <v>55</v>
      </c>
      <c r="C151" s="5" t="s">
        <v>344</v>
      </c>
      <c r="D151" s="5" t="s">
        <v>341</v>
      </c>
    </row>
    <row r="152" spans="1:4">
      <c r="A152" s="5" t="s">
        <v>222</v>
      </c>
      <c r="B152" s="5" t="s">
        <v>31</v>
      </c>
      <c r="C152" s="5" t="s">
        <v>341</v>
      </c>
      <c r="D152" s="5" t="s">
        <v>344</v>
      </c>
    </row>
    <row r="153" spans="1:4">
      <c r="A153" s="5" t="s">
        <v>223</v>
      </c>
      <c r="B153" s="5" t="s">
        <v>31</v>
      </c>
      <c r="C153" s="5" t="s">
        <v>344</v>
      </c>
      <c r="D153" s="5" t="s">
        <v>341</v>
      </c>
    </row>
    <row r="154" spans="1:4">
      <c r="A154" s="5" t="s">
        <v>224</v>
      </c>
      <c r="B154" s="5" t="s">
        <v>18</v>
      </c>
      <c r="C154" s="5" t="s">
        <v>344</v>
      </c>
      <c r="D154" s="5" t="s">
        <v>29</v>
      </c>
    </row>
    <row r="155" spans="1:4">
      <c r="A155" s="5" t="s">
        <v>226</v>
      </c>
      <c r="B155" s="5" t="s">
        <v>157</v>
      </c>
      <c r="C155" s="5" t="s">
        <v>344</v>
      </c>
      <c r="D155" s="12" t="s">
        <v>341</v>
      </c>
    </row>
    <row r="156" spans="1:4">
      <c r="A156" s="5" t="s">
        <v>228</v>
      </c>
      <c r="B156" s="5" t="s">
        <v>31</v>
      </c>
      <c r="C156" s="5" t="s">
        <v>341</v>
      </c>
      <c r="D156" s="5" t="s">
        <v>341</v>
      </c>
    </row>
    <row r="157" spans="1:4">
      <c r="A157" s="5" t="s">
        <v>229</v>
      </c>
      <c r="B157" s="5" t="s">
        <v>18</v>
      </c>
      <c r="C157" s="5" t="s">
        <v>344</v>
      </c>
      <c r="D157" s="5" t="s">
        <v>344</v>
      </c>
    </row>
    <row r="158" spans="1:4">
      <c r="A158" s="5" t="s">
        <v>230</v>
      </c>
      <c r="B158" s="5" t="s">
        <v>31</v>
      </c>
      <c r="C158" s="5" t="s">
        <v>341</v>
      </c>
      <c r="D158" s="5" t="s">
        <v>341</v>
      </c>
    </row>
    <row r="159" spans="1:4">
      <c r="A159" s="5" t="s">
        <v>231</v>
      </c>
      <c r="B159" s="5" t="s">
        <v>18</v>
      </c>
      <c r="C159" s="5" t="s">
        <v>341</v>
      </c>
      <c r="D159" s="5" t="s">
        <v>29</v>
      </c>
    </row>
    <row r="160" spans="1:4">
      <c r="A160" s="5" t="s">
        <v>232</v>
      </c>
      <c r="B160" s="5" t="s">
        <v>18</v>
      </c>
      <c r="C160" s="5" t="s">
        <v>344</v>
      </c>
      <c r="D160" s="5" t="s">
        <v>341</v>
      </c>
    </row>
    <row r="161" spans="1:4">
      <c r="A161" s="5" t="s">
        <v>233</v>
      </c>
      <c r="B161" s="5" t="s">
        <v>55</v>
      </c>
      <c r="C161" s="5" t="s">
        <v>344</v>
      </c>
      <c r="D161" s="5" t="s">
        <v>344</v>
      </c>
    </row>
    <row r="162" spans="1:4">
      <c r="A162" s="5" t="s">
        <v>234</v>
      </c>
      <c r="B162" s="5" t="s">
        <v>51</v>
      </c>
      <c r="C162" s="5" t="s">
        <v>344</v>
      </c>
      <c r="D162" s="5" t="s">
        <v>341</v>
      </c>
    </row>
    <row r="163" spans="1:4">
      <c r="A163" s="5" t="s">
        <v>235</v>
      </c>
      <c r="B163" s="5" t="s">
        <v>18</v>
      </c>
      <c r="C163" s="5" t="s">
        <v>344</v>
      </c>
      <c r="D163" s="5" t="s">
        <v>341</v>
      </c>
    </row>
    <row r="164" spans="1:4">
      <c r="A164" s="5" t="s">
        <v>236</v>
      </c>
      <c r="B164" s="5" t="s">
        <v>31</v>
      </c>
      <c r="C164" s="5" t="s">
        <v>29</v>
      </c>
      <c r="D164" s="5" t="s">
        <v>29</v>
      </c>
    </row>
    <row r="165" spans="1:4">
      <c r="A165" s="5" t="s">
        <v>237</v>
      </c>
      <c r="B165" s="5" t="s">
        <v>18</v>
      </c>
      <c r="C165" s="5" t="s">
        <v>341</v>
      </c>
      <c r="D165" s="5" t="s">
        <v>344</v>
      </c>
    </row>
    <row r="166" spans="1:4">
      <c r="A166" s="5" t="s">
        <v>238</v>
      </c>
      <c r="B166" s="5" t="s">
        <v>51</v>
      </c>
      <c r="C166" s="5" t="s">
        <v>344</v>
      </c>
      <c r="D166" s="5" t="s">
        <v>341</v>
      </c>
    </row>
    <row r="167" spans="1:4">
      <c r="A167" s="5" t="s">
        <v>239</v>
      </c>
      <c r="B167" s="5" t="s">
        <v>31</v>
      </c>
      <c r="C167" s="5" t="s">
        <v>341</v>
      </c>
      <c r="D167" s="5" t="s">
        <v>341</v>
      </c>
    </row>
    <row r="168" spans="1:4">
      <c r="A168" s="5" t="s">
        <v>240</v>
      </c>
      <c r="B168" s="5" t="s">
        <v>157</v>
      </c>
      <c r="C168" s="5" t="s">
        <v>344</v>
      </c>
      <c r="D168" s="5" t="s">
        <v>341</v>
      </c>
    </row>
    <row r="169" spans="1:4">
      <c r="A169" s="5" t="s">
        <v>241</v>
      </c>
      <c r="B169" s="5" t="s">
        <v>18</v>
      </c>
      <c r="C169" s="5" t="s">
        <v>29</v>
      </c>
      <c r="D169" s="5" t="s">
        <v>29</v>
      </c>
    </row>
    <row r="170" spans="1:4">
      <c r="A170" s="5" t="s">
        <v>243</v>
      </c>
      <c r="B170" s="5" t="s">
        <v>55</v>
      </c>
      <c r="C170" s="5" t="s">
        <v>29</v>
      </c>
      <c r="D170" s="5" t="s">
        <v>341</v>
      </c>
    </row>
    <row r="171" spans="1:4">
      <c r="A171" s="5" t="s">
        <v>244</v>
      </c>
      <c r="B171" s="5" t="s">
        <v>18</v>
      </c>
      <c r="C171" s="5" t="s">
        <v>341</v>
      </c>
      <c r="D171" s="5" t="s">
        <v>29</v>
      </c>
    </row>
    <row r="172" spans="1:4">
      <c r="A172" s="5" t="s">
        <v>245</v>
      </c>
      <c r="B172" s="5" t="s">
        <v>18</v>
      </c>
      <c r="C172" s="5" t="s">
        <v>344</v>
      </c>
      <c r="D172" s="5" t="s">
        <v>29</v>
      </c>
    </row>
    <row r="173" spans="1:4">
      <c r="A173" s="5" t="s">
        <v>246</v>
      </c>
      <c r="B173" s="5" t="s">
        <v>18</v>
      </c>
      <c r="C173" s="5" t="s">
        <v>341</v>
      </c>
      <c r="D173" s="5" t="s">
        <v>29</v>
      </c>
    </row>
    <row r="174" spans="1:4">
      <c r="A174" s="5" t="s">
        <v>247</v>
      </c>
      <c r="B174" s="5" t="s">
        <v>18</v>
      </c>
      <c r="C174" s="5" t="s">
        <v>344</v>
      </c>
      <c r="D174" s="5" t="s">
        <v>341</v>
      </c>
    </row>
    <row r="175" spans="1:4">
      <c r="A175" s="5" t="s">
        <v>249</v>
      </c>
      <c r="B175" s="5" t="s">
        <v>18</v>
      </c>
      <c r="C175" s="5" t="s">
        <v>344</v>
      </c>
      <c r="D175" s="5" t="s">
        <v>29</v>
      </c>
    </row>
    <row r="176" spans="1:4">
      <c r="A176" s="5" t="s">
        <v>250</v>
      </c>
      <c r="B176" s="5" t="s">
        <v>181</v>
      </c>
      <c r="C176" s="5" t="s">
        <v>344</v>
      </c>
      <c r="D176" s="5" t="s">
        <v>344</v>
      </c>
    </row>
    <row r="177" spans="1:4">
      <c r="A177" s="5" t="s">
        <v>251</v>
      </c>
      <c r="B177" s="5" t="s">
        <v>51</v>
      </c>
      <c r="C177" s="5" t="s">
        <v>341</v>
      </c>
      <c r="D177" s="5" t="s">
        <v>341</v>
      </c>
    </row>
    <row r="178" spans="1:4">
      <c r="A178" s="5" t="s">
        <v>252</v>
      </c>
      <c r="B178" s="5" t="s">
        <v>51</v>
      </c>
      <c r="C178" s="5" t="s">
        <v>344</v>
      </c>
      <c r="D178" s="5" t="s">
        <v>344</v>
      </c>
    </row>
    <row r="179" spans="1:4">
      <c r="A179" s="5" t="s">
        <v>253</v>
      </c>
      <c r="B179" s="5" t="s">
        <v>18</v>
      </c>
      <c r="C179" s="5" t="s">
        <v>344</v>
      </c>
      <c r="D179" s="5" t="s">
        <v>341</v>
      </c>
    </row>
    <row r="180" spans="1:4">
      <c r="A180" s="5" t="s">
        <v>254</v>
      </c>
      <c r="B180" s="5" t="s">
        <v>24</v>
      </c>
      <c r="C180" s="5" t="s">
        <v>344</v>
      </c>
      <c r="D180" s="5" t="s">
        <v>341</v>
      </c>
    </row>
    <row r="181" spans="1:4">
      <c r="A181" s="5" t="s">
        <v>255</v>
      </c>
      <c r="B181" s="5" t="s">
        <v>157</v>
      </c>
      <c r="C181" s="5" t="s">
        <v>341</v>
      </c>
      <c r="D181" s="5" t="s">
        <v>344</v>
      </c>
    </row>
    <row r="182" spans="1:4">
      <c r="A182" s="5" t="s">
        <v>256</v>
      </c>
      <c r="B182" s="5" t="s">
        <v>18</v>
      </c>
      <c r="C182" s="5" t="s">
        <v>344</v>
      </c>
      <c r="D182" s="5" t="s">
        <v>344</v>
      </c>
    </row>
    <row r="183" spans="1:4">
      <c r="A183" s="5" t="s">
        <v>257</v>
      </c>
      <c r="B183" s="5" t="s">
        <v>18</v>
      </c>
      <c r="C183" s="5" t="s">
        <v>341</v>
      </c>
      <c r="D183" s="5" t="s">
        <v>29</v>
      </c>
    </row>
    <row r="184" spans="1:4">
      <c r="A184" s="5" t="s">
        <v>258</v>
      </c>
      <c r="B184" s="5" t="s">
        <v>18</v>
      </c>
      <c r="C184" s="5" t="s">
        <v>344</v>
      </c>
      <c r="D184" s="5" t="s">
        <v>341</v>
      </c>
    </row>
    <row r="185" spans="1:4">
      <c r="A185" s="5" t="s">
        <v>259</v>
      </c>
      <c r="B185" s="5" t="s">
        <v>55</v>
      </c>
      <c r="C185" s="5" t="s">
        <v>341</v>
      </c>
      <c r="D185" s="5" t="s">
        <v>29</v>
      </c>
    </row>
    <row r="186" spans="1:4">
      <c r="A186" s="5" t="s">
        <v>260</v>
      </c>
      <c r="B186" s="5" t="s">
        <v>18</v>
      </c>
      <c r="C186" s="5" t="s">
        <v>29</v>
      </c>
      <c r="D186" s="5" t="s">
        <v>341</v>
      </c>
    </row>
    <row r="187" spans="1:4">
      <c r="A187" s="5" t="s">
        <v>261</v>
      </c>
      <c r="B187" s="5" t="s">
        <v>131</v>
      </c>
      <c r="C187" s="5" t="s">
        <v>29</v>
      </c>
      <c r="D187" s="5" t="s">
        <v>29</v>
      </c>
    </row>
    <row r="188" spans="1:4">
      <c r="A188" s="5" t="s">
        <v>262</v>
      </c>
      <c r="B188" s="5" t="s">
        <v>18</v>
      </c>
      <c r="C188" s="5" t="s">
        <v>344</v>
      </c>
      <c r="D188" s="5" t="s">
        <v>344</v>
      </c>
    </row>
    <row r="189" spans="1:4">
      <c r="A189" s="5" t="s">
        <v>263</v>
      </c>
      <c r="B189" s="5" t="s">
        <v>31</v>
      </c>
      <c r="C189" s="5" t="s">
        <v>29</v>
      </c>
      <c r="D189" s="5" t="s">
        <v>29</v>
      </c>
    </row>
    <row r="190" spans="1:4">
      <c r="A190" s="5" t="s">
        <v>264</v>
      </c>
      <c r="B190" s="5" t="s">
        <v>55</v>
      </c>
      <c r="C190" s="5" t="s">
        <v>344</v>
      </c>
      <c r="D190" s="5" t="s">
        <v>341</v>
      </c>
    </row>
    <row r="191" spans="1:4">
      <c r="A191" s="5" t="s">
        <v>265</v>
      </c>
      <c r="B191" s="5" t="s">
        <v>18</v>
      </c>
      <c r="C191" s="5" t="s">
        <v>29</v>
      </c>
      <c r="D191" s="5" t="s">
        <v>29</v>
      </c>
    </row>
    <row r="192" spans="1:4">
      <c r="A192" s="5" t="s">
        <v>266</v>
      </c>
      <c r="B192" s="5" t="s">
        <v>55</v>
      </c>
      <c r="C192" s="5" t="s">
        <v>29</v>
      </c>
      <c r="D192" s="5" t="s">
        <v>341</v>
      </c>
    </row>
    <row r="193" spans="1:4">
      <c r="A193" s="5" t="s">
        <v>267</v>
      </c>
      <c r="B193" s="5" t="s">
        <v>31</v>
      </c>
      <c r="C193" s="5" t="s">
        <v>341</v>
      </c>
      <c r="D193" s="5" t="s">
        <v>344</v>
      </c>
    </row>
    <row r="194" spans="1:4">
      <c r="A194" s="5" t="s">
        <v>268</v>
      </c>
      <c r="B194" s="5" t="s">
        <v>18</v>
      </c>
      <c r="C194" s="5" t="s">
        <v>29</v>
      </c>
      <c r="D194" s="5" t="s">
        <v>341</v>
      </c>
    </row>
    <row r="195" spans="1:4">
      <c r="A195" s="5" t="s">
        <v>269</v>
      </c>
      <c r="B195" s="5" t="s">
        <v>18</v>
      </c>
      <c r="C195" s="5" t="s">
        <v>29</v>
      </c>
      <c r="D195" s="5" t="s">
        <v>341</v>
      </c>
    </row>
    <row r="196" spans="1:4">
      <c r="A196" s="5" t="s">
        <v>270</v>
      </c>
      <c r="B196" s="5" t="s">
        <v>18</v>
      </c>
      <c r="C196" s="5" t="s">
        <v>29</v>
      </c>
      <c r="D196" s="5" t="s">
        <v>341</v>
      </c>
    </row>
    <row r="197" spans="1:4">
      <c r="A197" s="5" t="s">
        <v>271</v>
      </c>
      <c r="B197" s="5" t="s">
        <v>18</v>
      </c>
      <c r="C197" s="5" t="s">
        <v>344</v>
      </c>
      <c r="D197" s="5" t="s">
        <v>341</v>
      </c>
    </row>
    <row r="198" spans="1:4">
      <c r="A198" s="5" t="s">
        <v>272</v>
      </c>
      <c r="B198" s="5" t="s">
        <v>18</v>
      </c>
      <c r="C198" s="5" t="s">
        <v>29</v>
      </c>
      <c r="D198" s="5" t="s">
        <v>29</v>
      </c>
    </row>
    <row r="199" spans="1:4">
      <c r="A199" s="5" t="s">
        <v>273</v>
      </c>
      <c r="B199" s="5" t="s">
        <v>51</v>
      </c>
      <c r="C199" s="5" t="s">
        <v>344</v>
      </c>
      <c r="D199" s="5" t="s">
        <v>341</v>
      </c>
    </row>
    <row r="200" spans="1:4">
      <c r="A200" s="5" t="s">
        <v>275</v>
      </c>
      <c r="B200" s="5" t="s">
        <v>18</v>
      </c>
      <c r="C200" s="5" t="s">
        <v>29</v>
      </c>
      <c r="D200" s="5" t="s">
        <v>29</v>
      </c>
    </row>
    <row r="201" spans="1:4">
      <c r="A201" s="5" t="s">
        <v>276</v>
      </c>
      <c r="B201" s="5" t="s">
        <v>89</v>
      </c>
      <c r="C201" s="5" t="s">
        <v>29</v>
      </c>
      <c r="D201" s="5" t="s">
        <v>29</v>
      </c>
    </row>
    <row r="202" spans="1:4">
      <c r="A202" s="5" t="s">
        <v>277</v>
      </c>
      <c r="B202" s="5" t="s">
        <v>51</v>
      </c>
      <c r="C202" s="5" t="s">
        <v>29</v>
      </c>
      <c r="D202" s="5" t="s">
        <v>341</v>
      </c>
    </row>
    <row r="203" spans="1:4">
      <c r="A203" s="5" t="s">
        <v>278</v>
      </c>
      <c r="B203" s="5" t="s">
        <v>18</v>
      </c>
      <c r="C203" s="5" t="s">
        <v>29</v>
      </c>
      <c r="D203" s="5" t="s">
        <v>29</v>
      </c>
    </row>
    <row r="204" spans="1:4">
      <c r="A204" s="5" t="s">
        <v>279</v>
      </c>
      <c r="B204" s="5" t="s">
        <v>55</v>
      </c>
      <c r="C204" s="5" t="s">
        <v>341</v>
      </c>
      <c r="D204" s="5" t="s">
        <v>341</v>
      </c>
    </row>
    <row r="205" spans="1:4">
      <c r="A205" s="5" t="s">
        <v>280</v>
      </c>
      <c r="B205" s="5" t="s">
        <v>157</v>
      </c>
      <c r="C205" s="5" t="s">
        <v>29</v>
      </c>
      <c r="D205" s="5" t="s">
        <v>29</v>
      </c>
    </row>
    <row r="206" spans="1:4">
      <c r="A206" s="5" t="s">
        <v>282</v>
      </c>
      <c r="B206" s="5" t="s">
        <v>18</v>
      </c>
      <c r="C206" s="5" t="s">
        <v>29</v>
      </c>
      <c r="D206" s="5" t="s">
        <v>341</v>
      </c>
    </row>
    <row r="207" spans="1:4">
      <c r="A207" s="5" t="s">
        <v>283</v>
      </c>
      <c r="B207" s="5" t="s">
        <v>157</v>
      </c>
      <c r="C207" s="5" t="s">
        <v>29</v>
      </c>
      <c r="D207" s="5" t="s">
        <v>341</v>
      </c>
    </row>
    <row r="208" spans="1:4">
      <c r="A208" s="5" t="s">
        <v>284</v>
      </c>
      <c r="B208" s="5" t="s">
        <v>31</v>
      </c>
      <c r="C208" s="5" t="s">
        <v>344</v>
      </c>
      <c r="D208" s="5" t="s">
        <v>344</v>
      </c>
    </row>
    <row r="209" spans="1:4">
      <c r="A209" s="5" t="s">
        <v>286</v>
      </c>
      <c r="B209" s="5" t="s">
        <v>31</v>
      </c>
      <c r="C209" s="5" t="s">
        <v>341</v>
      </c>
      <c r="D209" s="12" t="s">
        <v>341</v>
      </c>
    </row>
    <row r="210" spans="1:4">
      <c r="A210" s="5" t="s">
        <v>287</v>
      </c>
      <c r="B210" s="5" t="s">
        <v>18</v>
      </c>
      <c r="C210" s="5" t="s">
        <v>29</v>
      </c>
      <c r="D210" s="5" t="s">
        <v>341</v>
      </c>
    </row>
    <row r="211" spans="1:4">
      <c r="A211" s="5" t="s">
        <v>289</v>
      </c>
      <c r="B211" s="5" t="s">
        <v>31</v>
      </c>
      <c r="C211" s="5" t="s">
        <v>341</v>
      </c>
      <c r="D211" s="5" t="s">
        <v>344</v>
      </c>
    </row>
    <row r="212" spans="1:4">
      <c r="A212" s="5" t="s">
        <v>290</v>
      </c>
      <c r="B212" s="5" t="s">
        <v>291</v>
      </c>
      <c r="C212" s="5" t="s">
        <v>29</v>
      </c>
      <c r="D212" s="5" t="s">
        <v>29</v>
      </c>
    </row>
    <row r="213" spans="1:4">
      <c r="A213" s="5" t="s">
        <v>292</v>
      </c>
      <c r="B213" s="5" t="s">
        <v>157</v>
      </c>
      <c r="C213" s="5" t="s">
        <v>344</v>
      </c>
      <c r="D213" s="5" t="s">
        <v>344</v>
      </c>
    </row>
    <row r="214" spans="1:4">
      <c r="A214" s="5" t="s">
        <v>293</v>
      </c>
      <c r="B214" s="5" t="s">
        <v>51</v>
      </c>
      <c r="C214" s="5" t="s">
        <v>29</v>
      </c>
      <c r="D214" s="5" t="s">
        <v>341</v>
      </c>
    </row>
    <row r="215" spans="1:4">
      <c r="A215" s="5" t="s">
        <v>294</v>
      </c>
      <c r="B215" s="5" t="s">
        <v>51</v>
      </c>
      <c r="C215" s="5" t="s">
        <v>344</v>
      </c>
      <c r="D215" s="5" t="s">
        <v>341</v>
      </c>
    </row>
    <row r="216" spans="1:4">
      <c r="A216" s="5" t="s">
        <v>295</v>
      </c>
      <c r="B216" s="5" t="s">
        <v>51</v>
      </c>
      <c r="C216" s="5" t="s">
        <v>341</v>
      </c>
      <c r="D216" s="5" t="s">
        <v>341</v>
      </c>
    </row>
    <row r="217" spans="1:4">
      <c r="A217" s="5" t="s">
        <v>296</v>
      </c>
      <c r="B217" s="5" t="s">
        <v>18</v>
      </c>
      <c r="C217" s="5" t="s">
        <v>29</v>
      </c>
      <c r="D217" s="5" t="s">
        <v>341</v>
      </c>
    </row>
    <row r="218" spans="1:4">
      <c r="A218" s="5" t="s">
        <v>297</v>
      </c>
      <c r="B218" s="5" t="s">
        <v>31</v>
      </c>
      <c r="C218" s="5" t="s">
        <v>29</v>
      </c>
      <c r="D218" s="5" t="s">
        <v>29</v>
      </c>
    </row>
    <row r="219" spans="1:4">
      <c r="A219" s="5" t="s">
        <v>298</v>
      </c>
      <c r="B219" s="5" t="s">
        <v>51</v>
      </c>
      <c r="C219" s="5" t="s">
        <v>29</v>
      </c>
      <c r="D219" s="5" t="s">
        <v>29</v>
      </c>
    </row>
    <row r="220" spans="1:4">
      <c r="A220" s="5" t="s">
        <v>299</v>
      </c>
      <c r="B220" s="5" t="s">
        <v>55</v>
      </c>
      <c r="C220" s="5" t="s">
        <v>344</v>
      </c>
      <c r="D220" s="5" t="s">
        <v>341</v>
      </c>
    </row>
    <row r="221" spans="1:4">
      <c r="A221" s="5" t="s">
        <v>300</v>
      </c>
      <c r="B221" s="5" t="s">
        <v>89</v>
      </c>
      <c r="C221" s="5" t="s">
        <v>344</v>
      </c>
      <c r="D221" s="5" t="s">
        <v>344</v>
      </c>
    </row>
    <row r="222" spans="1:4">
      <c r="A222" s="5" t="s">
        <v>301</v>
      </c>
      <c r="B222" s="5" t="s">
        <v>181</v>
      </c>
      <c r="C222" s="5" t="s">
        <v>29</v>
      </c>
      <c r="D222" s="5" t="s">
        <v>29</v>
      </c>
    </row>
    <row r="223" spans="1:4">
      <c r="A223" s="5" t="s">
        <v>302</v>
      </c>
      <c r="B223" s="5" t="s">
        <v>157</v>
      </c>
      <c r="C223" s="5" t="s">
        <v>29</v>
      </c>
      <c r="D223" s="5" t="s">
        <v>341</v>
      </c>
    </row>
    <row r="224" spans="1:4">
      <c r="A224" s="5" t="s">
        <v>304</v>
      </c>
      <c r="B224" s="5" t="s">
        <v>31</v>
      </c>
      <c r="C224" s="5" t="s">
        <v>29</v>
      </c>
      <c r="D224" s="5" t="s">
        <v>29</v>
      </c>
    </row>
    <row r="225" spans="1:4">
      <c r="A225" s="5" t="s">
        <v>305</v>
      </c>
      <c r="B225" s="5" t="s">
        <v>18</v>
      </c>
      <c r="C225" s="5" t="s">
        <v>29</v>
      </c>
      <c r="D225" s="5" t="s">
        <v>29</v>
      </c>
    </row>
    <row r="226" spans="1:4">
      <c r="A226" s="5" t="s">
        <v>306</v>
      </c>
      <c r="B226" s="5" t="s">
        <v>18</v>
      </c>
      <c r="C226" s="5" t="s">
        <v>29</v>
      </c>
      <c r="D226" s="5" t="s">
        <v>29</v>
      </c>
    </row>
    <row r="227" spans="1:4">
      <c r="A227" s="5" t="s">
        <v>307</v>
      </c>
      <c r="B227" s="5" t="s">
        <v>118</v>
      </c>
      <c r="C227" s="5" t="s">
        <v>29</v>
      </c>
      <c r="D227" s="5" t="s">
        <v>341</v>
      </c>
    </row>
    <row r="228" spans="1:4">
      <c r="A228" s="5" t="s">
        <v>308</v>
      </c>
      <c r="B228" s="5" t="s">
        <v>157</v>
      </c>
      <c r="C228" s="5" t="s">
        <v>29</v>
      </c>
      <c r="D228" s="5" t="s">
        <v>341</v>
      </c>
    </row>
    <row r="229" spans="1:4">
      <c r="A229" s="5" t="s">
        <v>309</v>
      </c>
      <c r="B229" s="5" t="s">
        <v>55</v>
      </c>
      <c r="C229" s="5" t="s">
        <v>29</v>
      </c>
      <c r="D229" s="5" t="s">
        <v>341</v>
      </c>
    </row>
    <row r="230" spans="1:4">
      <c r="A230" s="5" t="s">
        <v>310</v>
      </c>
      <c r="B230" s="5" t="s">
        <v>89</v>
      </c>
      <c r="C230" s="5" t="s">
        <v>29</v>
      </c>
      <c r="D230" s="5" t="s">
        <v>341</v>
      </c>
    </row>
    <row r="231" spans="1:4">
      <c r="A231" s="5" t="s">
        <v>311</v>
      </c>
      <c r="B231" s="5" t="s">
        <v>18</v>
      </c>
      <c r="C231" s="5" t="s">
        <v>344</v>
      </c>
      <c r="D231" s="5" t="s">
        <v>344</v>
      </c>
    </row>
    <row r="232" spans="1:4">
      <c r="A232" s="5" t="s">
        <v>313</v>
      </c>
      <c r="B232" s="5" t="s">
        <v>18</v>
      </c>
      <c r="C232" s="5" t="s">
        <v>29</v>
      </c>
      <c r="D232" s="5" t="s">
        <v>29</v>
      </c>
    </row>
    <row r="233" spans="1:4">
      <c r="A233" s="5" t="s">
        <v>314</v>
      </c>
      <c r="B233" s="5" t="s">
        <v>18</v>
      </c>
      <c r="C233" s="5" t="s">
        <v>29</v>
      </c>
      <c r="D233" s="5" t="s">
        <v>341</v>
      </c>
    </row>
    <row r="234" spans="1:4">
      <c r="A234" s="5" t="s">
        <v>315</v>
      </c>
      <c r="B234" s="5" t="s">
        <v>18</v>
      </c>
      <c r="C234" s="5" t="s">
        <v>344</v>
      </c>
      <c r="D234" s="5" t="s">
        <v>341</v>
      </c>
    </row>
    <row r="235" spans="1:4">
      <c r="A235" s="5" t="s">
        <v>316</v>
      </c>
      <c r="B235" s="5" t="s">
        <v>31</v>
      </c>
      <c r="C235" s="5" t="s">
        <v>344</v>
      </c>
      <c r="D235" s="5" t="s">
        <v>344</v>
      </c>
    </row>
    <row r="236" spans="1:4">
      <c r="A236" s="5" t="s">
        <v>317</v>
      </c>
      <c r="B236" s="5" t="s">
        <v>55</v>
      </c>
      <c r="C236" s="5" t="s">
        <v>29</v>
      </c>
      <c r="D236" s="5" t="s">
        <v>341</v>
      </c>
    </row>
    <row r="237" spans="1:4">
      <c r="A237" s="5" t="s">
        <v>318</v>
      </c>
      <c r="B237" s="5" t="s">
        <v>55</v>
      </c>
      <c r="C237" s="5" t="s">
        <v>29</v>
      </c>
      <c r="D237" s="5" t="s">
        <v>341</v>
      </c>
    </row>
    <row r="238" spans="1:4">
      <c r="A238" s="5" t="s">
        <v>319</v>
      </c>
      <c r="B238" s="5" t="s">
        <v>55</v>
      </c>
      <c r="C238" s="5" t="s">
        <v>29</v>
      </c>
      <c r="D238" s="5" t="s">
        <v>29</v>
      </c>
    </row>
    <row r="239" spans="1:4">
      <c r="A239" s="5" t="s">
        <v>320</v>
      </c>
      <c r="B239" s="5" t="s">
        <v>55</v>
      </c>
      <c r="C239" s="5" t="s">
        <v>29</v>
      </c>
      <c r="D239" s="5" t="s">
        <v>341</v>
      </c>
    </row>
    <row r="240" spans="1:4">
      <c r="A240" s="5" t="s">
        <v>321</v>
      </c>
      <c r="B240" s="5" t="s">
        <v>18</v>
      </c>
      <c r="C240" s="5" t="s">
        <v>344</v>
      </c>
      <c r="D240" s="5" t="s">
        <v>29</v>
      </c>
    </row>
    <row r="241" spans="1:4">
      <c r="A241" s="5" t="s">
        <v>322</v>
      </c>
      <c r="B241" s="5" t="s">
        <v>18</v>
      </c>
      <c r="C241" s="5" t="s">
        <v>344</v>
      </c>
      <c r="D241" s="5" t="s">
        <v>341</v>
      </c>
    </row>
    <row r="242" spans="1:4">
      <c r="A242" s="5" t="s">
        <v>323</v>
      </c>
      <c r="B242" s="5" t="s">
        <v>202</v>
      </c>
      <c r="C242" s="5" t="s">
        <v>29</v>
      </c>
      <c r="D242" s="5" t="s">
        <v>341</v>
      </c>
    </row>
    <row r="243" spans="1:4">
      <c r="A243" s="5" t="s">
        <v>324</v>
      </c>
      <c r="B243" s="5" t="s">
        <v>31</v>
      </c>
      <c r="C243" s="5" t="s">
        <v>29</v>
      </c>
      <c r="D243" s="5" t="s">
        <v>29</v>
      </c>
    </row>
    <row r="244" spans="1:4">
      <c r="A244" s="5" t="s">
        <v>325</v>
      </c>
      <c r="B244" s="5" t="s">
        <v>31</v>
      </c>
      <c r="C244" s="5" t="s">
        <v>29</v>
      </c>
      <c r="D244" s="5" t="s">
        <v>29</v>
      </c>
    </row>
    <row r="245" spans="1:4">
      <c r="A245" s="5" t="s">
        <v>326</v>
      </c>
      <c r="B245" s="5" t="s">
        <v>18</v>
      </c>
      <c r="C245" s="5" t="s">
        <v>344</v>
      </c>
      <c r="D245" s="5" t="s">
        <v>341</v>
      </c>
    </row>
    <row r="246" spans="1:4">
      <c r="A246" s="5" t="s">
        <v>327</v>
      </c>
      <c r="B246" s="5" t="s">
        <v>18</v>
      </c>
      <c r="C246" s="5" t="s">
        <v>29</v>
      </c>
      <c r="D246" s="5" t="s">
        <v>341</v>
      </c>
    </row>
    <row r="247" spans="1:4">
      <c r="A247" s="5" t="s">
        <v>328</v>
      </c>
      <c r="B247" s="5" t="s">
        <v>89</v>
      </c>
      <c r="C247" s="5" t="s">
        <v>29</v>
      </c>
      <c r="D247" s="5" t="s">
        <v>341</v>
      </c>
    </row>
    <row r="248" spans="1:4">
      <c r="A248" s="5" t="s">
        <v>329</v>
      </c>
      <c r="B248" s="5" t="s">
        <v>55</v>
      </c>
      <c r="C248" s="5" t="s">
        <v>29</v>
      </c>
      <c r="D248" s="5" t="s">
        <v>341</v>
      </c>
    </row>
    <row r="249" spans="1:4">
      <c r="A249" s="5" t="s">
        <v>330</v>
      </c>
      <c r="B249" s="5" t="s">
        <v>89</v>
      </c>
      <c r="C249" s="5" t="s">
        <v>344</v>
      </c>
      <c r="D249" s="5" t="s">
        <v>341</v>
      </c>
    </row>
    <row r="250" spans="1:4">
      <c r="A250" s="5" t="s">
        <v>331</v>
      </c>
      <c r="B250" s="5" t="s">
        <v>31</v>
      </c>
      <c r="C250" s="5" t="s">
        <v>344</v>
      </c>
      <c r="D250" s="5" t="s">
        <v>344</v>
      </c>
    </row>
    <row r="251" spans="1:4">
      <c r="A251" s="5" t="s">
        <v>332</v>
      </c>
      <c r="B251" s="5" t="s">
        <v>31</v>
      </c>
      <c r="C251" s="5" t="s">
        <v>29</v>
      </c>
      <c r="D251" s="5" t="s">
        <v>29</v>
      </c>
    </row>
    <row r="252" spans="1:4">
      <c r="A252" s="5" t="s">
        <v>333</v>
      </c>
      <c r="B252" s="5" t="s">
        <v>18</v>
      </c>
      <c r="C252" s="5" t="s">
        <v>344</v>
      </c>
      <c r="D252" s="5" t="s">
        <v>341</v>
      </c>
    </row>
    <row r="253" spans="1:4">
      <c r="A253" s="5" t="s">
        <v>334</v>
      </c>
      <c r="B253" s="5" t="s">
        <v>18</v>
      </c>
      <c r="C253" s="5" t="s">
        <v>344</v>
      </c>
      <c r="D253" s="5" t="s">
        <v>341</v>
      </c>
    </row>
    <row r="254" spans="1:4">
      <c r="A254" s="5" t="s">
        <v>335</v>
      </c>
      <c r="B254" s="5" t="s">
        <v>55</v>
      </c>
      <c r="C254" s="5" t="s">
        <v>29</v>
      </c>
      <c r="D254" s="5" t="s">
        <v>341</v>
      </c>
    </row>
    <row r="255" spans="1:4">
      <c r="A255" s="5" t="s">
        <v>336</v>
      </c>
      <c r="B255" s="5" t="s">
        <v>31</v>
      </c>
      <c r="C255" s="5" t="s">
        <v>344</v>
      </c>
      <c r="D255" s="5" t="s">
        <v>341</v>
      </c>
    </row>
    <row r="256" spans="1:4">
      <c r="A256" s="5" t="s">
        <v>337</v>
      </c>
      <c r="B256" s="5" t="s">
        <v>18</v>
      </c>
      <c r="C256" s="5" t="s">
        <v>29</v>
      </c>
      <c r="D256" s="5" t="s">
        <v>341</v>
      </c>
    </row>
    <row r="257" spans="1:4">
      <c r="A257" s="5" t="s">
        <v>338</v>
      </c>
      <c r="B257" s="5" t="s">
        <v>18</v>
      </c>
      <c r="C257" s="5" t="s">
        <v>344</v>
      </c>
      <c r="D257" s="5" t="s">
        <v>29</v>
      </c>
    </row>
    <row r="258" spans="1:4">
      <c r="A258" s="5" t="s">
        <v>339</v>
      </c>
      <c r="B258" s="5" t="s">
        <v>18</v>
      </c>
      <c r="C258" s="5" t="s">
        <v>29</v>
      </c>
      <c r="D258" s="5" t="s">
        <v>341</v>
      </c>
    </row>
    <row r="259" spans="1:4">
      <c r="A259" s="5" t="s">
        <v>340</v>
      </c>
      <c r="B259" s="5" t="s">
        <v>18</v>
      </c>
      <c r="C259" s="5" t="s">
        <v>344</v>
      </c>
      <c r="D259" s="5" t="s">
        <v>341</v>
      </c>
    </row>
    <row r="260" spans="1:4">
      <c r="A260" s="5" t="s">
        <v>342</v>
      </c>
      <c r="B260" s="5" t="s">
        <v>31</v>
      </c>
      <c r="C260" s="5" t="s">
        <v>29</v>
      </c>
      <c r="D260" s="5" t="s">
        <v>29</v>
      </c>
    </row>
  </sheetData>
  <autoFilter ref="A1:D260">
    <extLst/>
  </autoFilter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/>
  <dimension ref="A1:AA264"/>
  <sheetViews>
    <sheetView workbookViewId="0">
      <selection activeCell="A8" sqref="A8:A264"/>
    </sheetView>
  </sheetViews>
  <sheetFormatPr defaultColWidth="9" defaultRowHeight="13.5"/>
  <cols>
    <col min="1" max="1" width="16" customWidth="1"/>
    <col min="2" max="2" width="9.25" customWidth="1"/>
    <col min="3" max="3" width="14.5" customWidth="1"/>
    <col min="4" max="4" width="33.375" customWidth="1"/>
    <col min="5" max="5" width="17.125" customWidth="1"/>
    <col min="6" max="27" width="11.125"/>
  </cols>
  <sheetData>
    <row r="1" ht="15" spans="1:27">
      <c r="A1" s="5" t="s">
        <v>345</v>
      </c>
      <c r="B1" s="5" t="s">
        <v>10</v>
      </c>
      <c r="C1" s="5" t="s">
        <v>346</v>
      </c>
      <c r="D1" s="10" t="s">
        <v>343</v>
      </c>
      <c r="E1" s="5" t="s">
        <v>347</v>
      </c>
      <c r="F1" s="5" t="s">
        <v>348</v>
      </c>
      <c r="G1" s="5" t="s">
        <v>349</v>
      </c>
      <c r="H1" s="5" t="s">
        <v>350</v>
      </c>
      <c r="I1" s="5" t="s">
        <v>351</v>
      </c>
      <c r="J1" s="5" t="s">
        <v>352</v>
      </c>
      <c r="K1" s="5" t="s">
        <v>353</v>
      </c>
      <c r="L1" s="5" t="s">
        <v>354</v>
      </c>
      <c r="M1" s="5" t="s">
        <v>355</v>
      </c>
      <c r="N1" s="5" t="s">
        <v>356</v>
      </c>
      <c r="O1" s="5" t="s">
        <v>357</v>
      </c>
      <c r="P1" s="5" t="s">
        <v>358</v>
      </c>
      <c r="Q1" s="5" t="s">
        <v>359</v>
      </c>
      <c r="R1" s="5" t="s">
        <v>360</v>
      </c>
      <c r="S1" s="5" t="s">
        <v>361</v>
      </c>
      <c r="T1" s="5" t="s">
        <v>362</v>
      </c>
      <c r="U1" s="5" t="s">
        <v>363</v>
      </c>
      <c r="V1" s="5" t="s">
        <v>364</v>
      </c>
      <c r="W1" s="5" t="s">
        <v>365</v>
      </c>
      <c r="X1" s="5" t="s">
        <v>366</v>
      </c>
      <c r="Y1" s="5" t="s">
        <v>367</v>
      </c>
      <c r="Z1" s="5" t="s">
        <v>368</v>
      </c>
      <c r="AA1" s="5" t="s">
        <v>369</v>
      </c>
    </row>
    <row r="2" ht="15" hidden="1" spans="1:27">
      <c r="A2" s="6" t="s">
        <v>148</v>
      </c>
      <c r="B2" s="7" t="s">
        <v>344</v>
      </c>
      <c r="C2" s="7" t="s">
        <v>344</v>
      </c>
      <c r="D2" s="7" t="s">
        <v>31</v>
      </c>
      <c r="E2" s="7" t="s">
        <v>370</v>
      </c>
      <c r="F2" s="6">
        <v>0.06902212</v>
      </c>
      <c r="G2" s="6">
        <v>0</v>
      </c>
      <c r="H2" s="6">
        <v>0.007669521</v>
      </c>
      <c r="I2" s="6">
        <v>0.048708524</v>
      </c>
      <c r="J2" s="6">
        <v>0</v>
      </c>
      <c r="K2" s="6">
        <v>0.117206557</v>
      </c>
      <c r="L2" s="6">
        <v>0</v>
      </c>
      <c r="M2" s="6">
        <v>0.010635301</v>
      </c>
      <c r="N2" s="6">
        <v>0.036537544</v>
      </c>
      <c r="O2" s="6">
        <v>0</v>
      </c>
      <c r="P2" s="6">
        <v>0.023478702</v>
      </c>
      <c r="Q2" s="6">
        <v>0.014531306</v>
      </c>
      <c r="R2" s="6">
        <v>0.006442298</v>
      </c>
      <c r="S2" s="6">
        <v>0.142536873</v>
      </c>
      <c r="T2" s="6">
        <v>0.062492002</v>
      </c>
      <c r="U2" s="6">
        <v>0.379469124</v>
      </c>
      <c r="V2" s="6">
        <v>0</v>
      </c>
      <c r="W2" s="6">
        <v>0</v>
      </c>
      <c r="X2" s="6">
        <v>0.080428369</v>
      </c>
      <c r="Y2" s="6">
        <v>0</v>
      </c>
      <c r="Z2" s="6">
        <v>0</v>
      </c>
      <c r="AA2" s="6">
        <v>0.0008</v>
      </c>
    </row>
    <row r="3" ht="15" hidden="1" spans="1:27">
      <c r="A3" s="6" t="s">
        <v>60</v>
      </c>
      <c r="B3" s="7" t="s">
        <v>344</v>
      </c>
      <c r="C3" s="7" t="s">
        <v>344</v>
      </c>
      <c r="D3" s="7" t="s">
        <v>31</v>
      </c>
      <c r="E3" s="7" t="s">
        <v>370</v>
      </c>
      <c r="F3" s="6">
        <v>0.160611419</v>
      </c>
      <c r="G3" s="6">
        <v>0</v>
      </c>
      <c r="H3" s="6">
        <v>0</v>
      </c>
      <c r="I3" s="6">
        <v>0</v>
      </c>
      <c r="J3" s="6">
        <v>0</v>
      </c>
      <c r="K3" s="6">
        <v>0.24650342</v>
      </c>
      <c r="L3" s="6">
        <v>0</v>
      </c>
      <c r="M3" s="6">
        <v>0</v>
      </c>
      <c r="N3" s="6">
        <v>0.0005</v>
      </c>
      <c r="O3" s="6">
        <v>0</v>
      </c>
      <c r="P3" s="6">
        <v>0</v>
      </c>
      <c r="Q3" s="6">
        <v>0.053716543</v>
      </c>
      <c r="R3" s="6">
        <v>0.047071671</v>
      </c>
      <c r="S3" s="6">
        <v>0</v>
      </c>
      <c r="T3" s="6">
        <v>0.016906646</v>
      </c>
      <c r="U3" s="6">
        <v>0.468080909</v>
      </c>
      <c r="V3" s="6">
        <v>0</v>
      </c>
      <c r="W3" s="6">
        <v>0.003230928</v>
      </c>
      <c r="X3" s="6">
        <v>0</v>
      </c>
      <c r="Y3" s="6">
        <v>0</v>
      </c>
      <c r="Z3" s="6">
        <v>0</v>
      </c>
      <c r="AA3" s="6">
        <v>0.003332104</v>
      </c>
    </row>
    <row r="4" ht="15" hidden="1" spans="1:27">
      <c r="A4" s="6" t="s">
        <v>253</v>
      </c>
      <c r="B4" s="7" t="s">
        <v>344</v>
      </c>
      <c r="C4" s="7" t="s">
        <v>341</v>
      </c>
      <c r="D4" s="7" t="s">
        <v>18</v>
      </c>
      <c r="E4" s="7" t="s">
        <v>370</v>
      </c>
      <c r="F4" s="6">
        <v>0.073287324</v>
      </c>
      <c r="G4" s="6">
        <v>0</v>
      </c>
      <c r="H4" s="6">
        <v>0.042258893</v>
      </c>
      <c r="I4" s="6">
        <v>0.039383276</v>
      </c>
      <c r="J4" s="6">
        <v>0</v>
      </c>
      <c r="K4" s="6">
        <v>0.122208291</v>
      </c>
      <c r="L4" s="6">
        <v>0</v>
      </c>
      <c r="M4" s="6">
        <v>0</v>
      </c>
      <c r="N4" s="6">
        <v>0.00116883</v>
      </c>
      <c r="O4" s="6">
        <v>0</v>
      </c>
      <c r="P4" s="6">
        <v>0.046979348</v>
      </c>
      <c r="Q4" s="6">
        <v>0.034084369</v>
      </c>
      <c r="R4" s="6">
        <v>0.057118098</v>
      </c>
      <c r="S4" s="6">
        <v>0.002666065</v>
      </c>
      <c r="T4" s="6">
        <v>0.064099841</v>
      </c>
      <c r="U4" s="6">
        <v>0.469507118</v>
      </c>
      <c r="V4" s="6">
        <v>0</v>
      </c>
      <c r="W4" s="6">
        <v>0</v>
      </c>
      <c r="X4" s="6">
        <v>0.047238546</v>
      </c>
      <c r="Y4" s="6">
        <v>0</v>
      </c>
      <c r="Z4" s="6">
        <v>0</v>
      </c>
      <c r="AA4" s="6">
        <v>0</v>
      </c>
    </row>
    <row r="5" ht="15" hidden="1" spans="1:27">
      <c r="A5" s="6" t="s">
        <v>333</v>
      </c>
      <c r="B5" s="7" t="s">
        <v>344</v>
      </c>
      <c r="C5" s="7" t="s">
        <v>341</v>
      </c>
      <c r="D5" s="7" t="s">
        <v>18</v>
      </c>
      <c r="E5" s="7" t="s">
        <v>370</v>
      </c>
      <c r="F5" s="6">
        <v>0.041780403</v>
      </c>
      <c r="G5" s="6">
        <v>0</v>
      </c>
      <c r="H5" s="6">
        <v>0.005380434</v>
      </c>
      <c r="I5" s="6">
        <v>0.104102282</v>
      </c>
      <c r="J5" s="6">
        <v>0</v>
      </c>
      <c r="K5" s="6">
        <v>0.196060849</v>
      </c>
      <c r="L5" s="6">
        <v>0</v>
      </c>
      <c r="M5" s="6">
        <v>0.007602114</v>
      </c>
      <c r="N5" s="6">
        <v>0.012880547</v>
      </c>
      <c r="O5" s="6">
        <v>0</v>
      </c>
      <c r="P5" s="6">
        <v>0.004436447</v>
      </c>
      <c r="Q5" s="6">
        <v>0.015471437</v>
      </c>
      <c r="R5" s="6">
        <v>0.078624605</v>
      </c>
      <c r="S5" s="6">
        <v>0</v>
      </c>
      <c r="T5" s="6">
        <v>0.040883002</v>
      </c>
      <c r="U5" s="6">
        <v>0.373570697</v>
      </c>
      <c r="V5" s="6">
        <v>0</v>
      </c>
      <c r="W5" s="6">
        <v>0</v>
      </c>
      <c r="X5" s="6">
        <v>0.119207185</v>
      </c>
      <c r="Y5" s="6">
        <v>0</v>
      </c>
      <c r="Z5" s="6">
        <v>0</v>
      </c>
      <c r="AA5" s="6">
        <v>0</v>
      </c>
    </row>
    <row r="6" ht="15" hidden="1" spans="1:27">
      <c r="A6" s="6" t="s">
        <v>223</v>
      </c>
      <c r="B6" s="7" t="s">
        <v>344</v>
      </c>
      <c r="C6" s="7" t="s">
        <v>341</v>
      </c>
      <c r="D6" s="7" t="s">
        <v>31</v>
      </c>
      <c r="E6" s="7" t="s">
        <v>370</v>
      </c>
      <c r="F6" s="6">
        <v>0.034519244</v>
      </c>
      <c r="G6" s="6">
        <v>0</v>
      </c>
      <c r="H6" s="6">
        <v>0</v>
      </c>
      <c r="I6" s="6">
        <v>0.050233774</v>
      </c>
      <c r="J6" s="6">
        <v>0</v>
      </c>
      <c r="K6" s="6">
        <v>0.272156174</v>
      </c>
      <c r="L6" s="6">
        <v>0.010542373</v>
      </c>
      <c r="M6" s="6">
        <v>0</v>
      </c>
      <c r="N6" s="6">
        <v>0.018234925</v>
      </c>
      <c r="O6" s="6">
        <v>0</v>
      </c>
      <c r="P6" s="6">
        <v>0</v>
      </c>
      <c r="Q6" s="6">
        <v>0.029797514</v>
      </c>
      <c r="R6" s="6">
        <v>0.0253885</v>
      </c>
      <c r="S6" s="6">
        <v>0</v>
      </c>
      <c r="T6" s="6">
        <v>0.044685192</v>
      </c>
      <c r="U6" s="6">
        <v>0.443293614</v>
      </c>
      <c r="V6" s="6">
        <v>0</v>
      </c>
      <c r="W6" s="6">
        <v>0.016799135</v>
      </c>
      <c r="X6" s="6">
        <v>0.049717927</v>
      </c>
      <c r="Y6" s="6">
        <v>0</v>
      </c>
      <c r="Z6" s="6">
        <v>0</v>
      </c>
      <c r="AA6" s="6">
        <v>0.004631629</v>
      </c>
    </row>
    <row r="7" ht="15" hidden="1" spans="1:27">
      <c r="A7" s="6" t="s">
        <v>99</v>
      </c>
      <c r="B7" s="7" t="s">
        <v>344</v>
      </c>
      <c r="C7" s="7" t="s">
        <v>29</v>
      </c>
      <c r="D7" s="7" t="s">
        <v>31</v>
      </c>
      <c r="E7" s="7" t="s">
        <v>370</v>
      </c>
      <c r="F7" s="6">
        <v>0.054449682</v>
      </c>
      <c r="G7" s="6">
        <v>0</v>
      </c>
      <c r="H7" s="6">
        <v>0.0006</v>
      </c>
      <c r="I7" s="6">
        <v>0.006805631</v>
      </c>
      <c r="J7" s="6">
        <v>0</v>
      </c>
      <c r="K7" s="6">
        <v>0.255618854</v>
      </c>
      <c r="L7" s="6">
        <v>0</v>
      </c>
      <c r="M7" s="6">
        <v>0.0005</v>
      </c>
      <c r="N7" s="6">
        <v>0</v>
      </c>
      <c r="O7" s="6">
        <v>0</v>
      </c>
      <c r="P7" s="6">
        <v>0</v>
      </c>
      <c r="Q7" s="6">
        <v>0.021929076</v>
      </c>
      <c r="R7" s="6">
        <v>0.042679212</v>
      </c>
      <c r="S7" s="6">
        <v>0</v>
      </c>
      <c r="T7" s="6">
        <v>0.067001838</v>
      </c>
      <c r="U7" s="6">
        <v>0.508101751</v>
      </c>
      <c r="V7" s="6">
        <v>0</v>
      </c>
      <c r="W7" s="6">
        <v>0</v>
      </c>
      <c r="X7" s="6">
        <v>0.042358061</v>
      </c>
      <c r="Y7" s="6">
        <v>0</v>
      </c>
      <c r="Z7" s="6">
        <v>0</v>
      </c>
      <c r="AA7" s="6">
        <v>0</v>
      </c>
    </row>
    <row r="8" ht="15" spans="1:27">
      <c r="A8" s="6" t="s">
        <v>236</v>
      </c>
      <c r="B8" s="7" t="s">
        <v>29</v>
      </c>
      <c r="C8" s="7" t="s">
        <v>29</v>
      </c>
      <c r="D8" s="7" t="s">
        <v>31</v>
      </c>
      <c r="E8" s="7" t="s">
        <v>370</v>
      </c>
      <c r="F8" s="6">
        <v>0.148545082</v>
      </c>
      <c r="G8" s="6">
        <v>0</v>
      </c>
      <c r="H8" s="6">
        <v>0</v>
      </c>
      <c r="I8" s="6">
        <v>0</v>
      </c>
      <c r="J8" s="6">
        <v>0</v>
      </c>
      <c r="K8" s="6">
        <v>0.202463287</v>
      </c>
      <c r="L8" s="6">
        <v>0</v>
      </c>
      <c r="M8" s="6">
        <v>0.011494824</v>
      </c>
      <c r="N8" s="6">
        <v>0.01511179</v>
      </c>
      <c r="O8" s="6">
        <v>0</v>
      </c>
      <c r="P8" s="6">
        <v>0</v>
      </c>
      <c r="Q8" s="6">
        <v>0</v>
      </c>
      <c r="R8" s="6">
        <v>0.097935892</v>
      </c>
      <c r="S8" s="6">
        <v>0</v>
      </c>
      <c r="T8" s="6">
        <v>0.02129735</v>
      </c>
      <c r="U8" s="6">
        <v>0.366202273</v>
      </c>
      <c r="V8" s="6">
        <v>0</v>
      </c>
      <c r="W8" s="6">
        <v>0.002455334</v>
      </c>
      <c r="X8" s="6">
        <v>0.130077135</v>
      </c>
      <c r="Y8" s="6">
        <v>0</v>
      </c>
      <c r="Z8" s="6">
        <v>0.004417033</v>
      </c>
      <c r="AA8" s="6">
        <v>0</v>
      </c>
    </row>
    <row r="9" ht="15" hidden="1" spans="1:27">
      <c r="A9" s="6" t="s">
        <v>100</v>
      </c>
      <c r="B9" s="7" t="s">
        <v>344</v>
      </c>
      <c r="C9" s="7" t="s">
        <v>29</v>
      </c>
      <c r="D9" s="7" t="s">
        <v>31</v>
      </c>
      <c r="E9" s="7" t="s">
        <v>370</v>
      </c>
      <c r="F9" s="6">
        <v>0.237109446</v>
      </c>
      <c r="G9" s="6">
        <v>0</v>
      </c>
      <c r="H9" s="6">
        <v>0</v>
      </c>
      <c r="I9" s="6">
        <v>0</v>
      </c>
      <c r="J9" s="6">
        <v>0</v>
      </c>
      <c r="K9" s="6">
        <v>0.109433819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0.00292916</v>
      </c>
      <c r="R9" s="6">
        <v>0.028012631</v>
      </c>
      <c r="S9" s="6">
        <v>0</v>
      </c>
      <c r="T9" s="6">
        <v>0</v>
      </c>
      <c r="U9" s="6">
        <v>0.491232323</v>
      </c>
      <c r="V9" s="6">
        <v>0</v>
      </c>
      <c r="W9" s="6">
        <v>0.012844455</v>
      </c>
      <c r="X9" s="6">
        <v>0.118438165</v>
      </c>
      <c r="Y9" s="6">
        <v>0</v>
      </c>
      <c r="Z9" s="6">
        <v>0</v>
      </c>
      <c r="AA9" s="6">
        <v>0</v>
      </c>
    </row>
    <row r="10" ht="15" hidden="1" spans="1:27">
      <c r="A10" s="6" t="s">
        <v>107</v>
      </c>
      <c r="B10" s="7" t="s">
        <v>344</v>
      </c>
      <c r="C10" s="7" t="s">
        <v>344</v>
      </c>
      <c r="D10" s="7" t="s">
        <v>31</v>
      </c>
      <c r="E10" s="7" t="s">
        <v>370</v>
      </c>
      <c r="F10" s="6">
        <v>0.026278396</v>
      </c>
      <c r="G10" s="6">
        <v>0</v>
      </c>
      <c r="H10" s="6">
        <v>0</v>
      </c>
      <c r="I10" s="6">
        <v>0.049746273</v>
      </c>
      <c r="J10" s="6">
        <v>0</v>
      </c>
      <c r="K10" s="6">
        <v>0.120427096</v>
      </c>
      <c r="L10" s="6">
        <v>0</v>
      </c>
      <c r="M10" s="6">
        <v>0.0008</v>
      </c>
      <c r="N10" s="6">
        <v>0.001981742</v>
      </c>
      <c r="O10" s="6">
        <v>0</v>
      </c>
      <c r="P10" s="6">
        <v>0.028758427</v>
      </c>
      <c r="Q10" s="6">
        <v>0</v>
      </c>
      <c r="R10" s="6">
        <v>0.067236009</v>
      </c>
      <c r="S10" s="6">
        <v>0</v>
      </c>
      <c r="T10" s="6">
        <v>0.003847487</v>
      </c>
      <c r="U10" s="6">
        <v>0.622709571</v>
      </c>
      <c r="V10" s="6">
        <v>0</v>
      </c>
      <c r="W10" s="6">
        <v>0</v>
      </c>
      <c r="X10" s="6">
        <v>0.078184211</v>
      </c>
      <c r="Y10" s="6">
        <v>0</v>
      </c>
      <c r="Z10" s="6">
        <v>0</v>
      </c>
      <c r="AA10" s="6">
        <v>0</v>
      </c>
    </row>
    <row r="11" ht="15" hidden="1" spans="1:27">
      <c r="A11" s="6" t="s">
        <v>267</v>
      </c>
      <c r="B11" s="7" t="s">
        <v>341</v>
      </c>
      <c r="C11" s="7" t="s">
        <v>344</v>
      </c>
      <c r="D11" s="7" t="s">
        <v>31</v>
      </c>
      <c r="E11" s="7" t="s">
        <v>370</v>
      </c>
      <c r="F11" s="6">
        <v>0.119291861</v>
      </c>
      <c r="G11" s="6">
        <v>0</v>
      </c>
      <c r="H11" s="6">
        <v>0</v>
      </c>
      <c r="I11" s="6">
        <v>0.038975549</v>
      </c>
      <c r="J11" s="6">
        <v>0</v>
      </c>
      <c r="K11" s="6">
        <v>0.148576725</v>
      </c>
      <c r="L11" s="6">
        <v>0</v>
      </c>
      <c r="M11" s="6">
        <v>0.001153361</v>
      </c>
      <c r="N11" s="6">
        <v>0.003457592</v>
      </c>
      <c r="O11" s="6">
        <v>0</v>
      </c>
      <c r="P11" s="6">
        <v>0</v>
      </c>
      <c r="Q11" s="6">
        <v>0.052543744</v>
      </c>
      <c r="R11" s="6">
        <v>0.036861416</v>
      </c>
      <c r="S11" s="6">
        <v>0</v>
      </c>
      <c r="T11" s="6">
        <v>0.043204836</v>
      </c>
      <c r="U11" s="6">
        <v>0.419856806</v>
      </c>
      <c r="V11" s="6">
        <v>0</v>
      </c>
      <c r="W11" s="6">
        <v>0</v>
      </c>
      <c r="X11" s="6">
        <v>0.13607811</v>
      </c>
      <c r="Y11" s="6">
        <v>0</v>
      </c>
      <c r="Z11" s="6">
        <v>0</v>
      </c>
      <c r="AA11" s="6">
        <v>0</v>
      </c>
    </row>
    <row r="12" ht="15" hidden="1" spans="1:27">
      <c r="A12" s="6" t="s">
        <v>40</v>
      </c>
      <c r="B12" s="7" t="s">
        <v>341</v>
      </c>
      <c r="C12" s="7" t="s">
        <v>344</v>
      </c>
      <c r="D12" s="7" t="s">
        <v>31</v>
      </c>
      <c r="E12" s="7" t="s">
        <v>370</v>
      </c>
      <c r="F12" s="6">
        <v>0.040246486</v>
      </c>
      <c r="G12" s="6">
        <v>0</v>
      </c>
      <c r="H12" s="6">
        <v>0.0002</v>
      </c>
      <c r="I12" s="6">
        <v>0.031737012</v>
      </c>
      <c r="J12" s="6">
        <v>0</v>
      </c>
      <c r="K12" s="6">
        <v>0.126203553</v>
      </c>
      <c r="L12" s="6">
        <v>0</v>
      </c>
      <c r="M12" s="6">
        <v>0.005787993</v>
      </c>
      <c r="N12" s="6">
        <v>0.005312904</v>
      </c>
      <c r="O12" s="6">
        <v>0</v>
      </c>
      <c r="P12" s="6">
        <v>0.005057673</v>
      </c>
      <c r="Q12" s="6">
        <v>0</v>
      </c>
      <c r="R12" s="6">
        <v>0.034068821</v>
      </c>
      <c r="S12" s="6">
        <v>0</v>
      </c>
      <c r="T12" s="6">
        <v>0.097586515</v>
      </c>
      <c r="U12" s="6">
        <v>0.481282453</v>
      </c>
      <c r="V12" s="6">
        <v>0</v>
      </c>
      <c r="W12" s="6">
        <v>0</v>
      </c>
      <c r="X12" s="6">
        <v>0.172562784</v>
      </c>
      <c r="Y12" s="6">
        <v>0</v>
      </c>
      <c r="Z12" s="6">
        <v>0</v>
      </c>
      <c r="AA12" s="6">
        <v>0</v>
      </c>
    </row>
    <row r="13" ht="15" hidden="1" spans="1:27">
      <c r="A13" s="6" t="s">
        <v>30</v>
      </c>
      <c r="B13" s="7" t="s">
        <v>341</v>
      </c>
      <c r="C13" s="7" t="s">
        <v>344</v>
      </c>
      <c r="D13" s="7" t="s">
        <v>31</v>
      </c>
      <c r="E13" s="7" t="s">
        <v>370</v>
      </c>
      <c r="F13" s="6">
        <v>0.062829088</v>
      </c>
      <c r="G13" s="6">
        <v>0</v>
      </c>
      <c r="H13" s="6">
        <v>0.020262128</v>
      </c>
      <c r="I13" s="6">
        <v>0.027452514</v>
      </c>
      <c r="J13" s="6">
        <v>0</v>
      </c>
      <c r="K13" s="6">
        <v>0.11350733</v>
      </c>
      <c r="L13" s="6">
        <v>0.01354567</v>
      </c>
      <c r="M13" s="6">
        <v>0</v>
      </c>
      <c r="N13" s="6">
        <v>0.016555378</v>
      </c>
      <c r="O13" s="6">
        <v>0</v>
      </c>
      <c r="P13" s="6">
        <v>0</v>
      </c>
      <c r="Q13" s="6">
        <v>0.004945448</v>
      </c>
      <c r="R13" s="6">
        <v>0.117362104</v>
      </c>
      <c r="S13" s="6">
        <v>0</v>
      </c>
      <c r="T13" s="6">
        <v>0.025936719</v>
      </c>
      <c r="U13" s="6">
        <v>0.561767138</v>
      </c>
      <c r="V13" s="6">
        <v>0</v>
      </c>
      <c r="W13" s="6">
        <v>0.001012855</v>
      </c>
      <c r="X13" s="6">
        <v>0.029463729</v>
      </c>
      <c r="Y13" s="6">
        <v>0</v>
      </c>
      <c r="Z13" s="6">
        <v>0.005256667</v>
      </c>
      <c r="AA13" s="6">
        <v>0.0001</v>
      </c>
    </row>
    <row r="14" ht="15" spans="1:27">
      <c r="A14" s="6" t="s">
        <v>195</v>
      </c>
      <c r="B14" s="7" t="s">
        <v>29</v>
      </c>
      <c r="C14" s="7" t="s">
        <v>29</v>
      </c>
      <c r="D14" s="7" t="s">
        <v>31</v>
      </c>
      <c r="E14" s="7" t="s">
        <v>370</v>
      </c>
      <c r="F14" s="6">
        <v>0.008538263</v>
      </c>
      <c r="G14" s="6">
        <v>0</v>
      </c>
      <c r="H14" s="6">
        <v>0.005970179</v>
      </c>
      <c r="I14" s="6">
        <v>0.042373066</v>
      </c>
      <c r="J14" s="6">
        <v>0</v>
      </c>
      <c r="K14" s="6">
        <v>0.126331826</v>
      </c>
      <c r="L14" s="6">
        <v>0.006682347</v>
      </c>
      <c r="M14" s="6">
        <v>0</v>
      </c>
      <c r="N14" s="6">
        <v>0.016670069</v>
      </c>
      <c r="O14" s="6">
        <v>0</v>
      </c>
      <c r="P14" s="6">
        <v>0</v>
      </c>
      <c r="Q14" s="6">
        <v>0.013115102</v>
      </c>
      <c r="R14" s="6">
        <v>0.081127296</v>
      </c>
      <c r="S14" s="6">
        <v>0</v>
      </c>
      <c r="T14" s="6">
        <v>0.016034493</v>
      </c>
      <c r="U14" s="6">
        <v>0.603236077</v>
      </c>
      <c r="V14" s="6">
        <v>0</v>
      </c>
      <c r="W14" s="6">
        <v>0</v>
      </c>
      <c r="X14" s="6">
        <v>0.079921282</v>
      </c>
      <c r="Y14" s="6">
        <v>0</v>
      </c>
      <c r="Z14" s="6">
        <v>0</v>
      </c>
      <c r="AA14" s="6">
        <v>0</v>
      </c>
    </row>
    <row r="15" ht="15" hidden="1" spans="1:27">
      <c r="A15" s="6" t="s">
        <v>69</v>
      </c>
      <c r="B15" s="7" t="s">
        <v>344</v>
      </c>
      <c r="C15" s="7" t="s">
        <v>29</v>
      </c>
      <c r="D15" s="7" t="s">
        <v>31</v>
      </c>
      <c r="E15" s="7" t="s">
        <v>370</v>
      </c>
      <c r="F15" s="6">
        <v>0.004339884</v>
      </c>
      <c r="G15" s="6">
        <v>0</v>
      </c>
      <c r="H15" s="6">
        <v>0.001193065</v>
      </c>
      <c r="I15" s="6">
        <v>0.103440809</v>
      </c>
      <c r="J15" s="6">
        <v>0</v>
      </c>
      <c r="K15" s="6">
        <v>0.25630005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0.004857931</v>
      </c>
      <c r="R15" s="6">
        <v>0.062915157</v>
      </c>
      <c r="S15" s="6">
        <v>0.084987116</v>
      </c>
      <c r="T15" s="6">
        <v>0.078650419</v>
      </c>
      <c r="U15" s="6">
        <v>0.402922388</v>
      </c>
      <c r="V15" s="6">
        <v>0</v>
      </c>
      <c r="W15" s="6">
        <v>0</v>
      </c>
      <c r="X15" s="6">
        <v>0</v>
      </c>
      <c r="Y15" s="6">
        <v>0.0004</v>
      </c>
      <c r="Z15" s="6">
        <v>0</v>
      </c>
      <c r="AA15" s="6">
        <v>0</v>
      </c>
    </row>
    <row r="16" ht="15" hidden="1" spans="1:27">
      <c r="A16" s="6" t="s">
        <v>316</v>
      </c>
      <c r="B16" s="7" t="s">
        <v>344</v>
      </c>
      <c r="C16" s="7" t="s">
        <v>344</v>
      </c>
      <c r="D16" s="7" t="s">
        <v>31</v>
      </c>
      <c r="E16" s="7" t="s">
        <v>370</v>
      </c>
      <c r="F16" s="6">
        <v>0</v>
      </c>
      <c r="G16" s="6">
        <v>0.005094519</v>
      </c>
      <c r="H16" s="6">
        <v>0.006410454</v>
      </c>
      <c r="I16" s="6">
        <v>0.064557581</v>
      </c>
      <c r="J16" s="6">
        <v>0</v>
      </c>
      <c r="K16" s="6">
        <v>0.109856464</v>
      </c>
      <c r="L16" s="6">
        <v>0.00812706</v>
      </c>
      <c r="M16" s="6">
        <v>0</v>
      </c>
      <c r="N16" s="6">
        <v>0.060909423</v>
      </c>
      <c r="O16" s="6">
        <v>0</v>
      </c>
      <c r="P16" s="6">
        <v>0.0007</v>
      </c>
      <c r="Q16" s="6">
        <v>0</v>
      </c>
      <c r="R16" s="6">
        <v>0</v>
      </c>
      <c r="S16" s="6">
        <v>0.106448528</v>
      </c>
      <c r="T16" s="6">
        <v>0.003456155</v>
      </c>
      <c r="U16" s="6">
        <v>0.408188243</v>
      </c>
      <c r="V16" s="6">
        <v>0</v>
      </c>
      <c r="W16" s="6">
        <v>0</v>
      </c>
      <c r="X16" s="6">
        <v>0.226292857</v>
      </c>
      <c r="Y16" s="6">
        <v>0</v>
      </c>
      <c r="Z16" s="6">
        <v>0</v>
      </c>
      <c r="AA16" s="6">
        <v>0</v>
      </c>
    </row>
    <row r="17" ht="15" hidden="1" spans="1:27">
      <c r="A17" s="6" t="s">
        <v>331</v>
      </c>
      <c r="B17" s="7" t="s">
        <v>344</v>
      </c>
      <c r="C17" s="7" t="s">
        <v>344</v>
      </c>
      <c r="D17" s="7" t="s">
        <v>31</v>
      </c>
      <c r="E17" s="7" t="s">
        <v>370</v>
      </c>
      <c r="F17" s="6">
        <v>0.148911271</v>
      </c>
      <c r="G17" s="6">
        <v>0</v>
      </c>
      <c r="H17" s="6">
        <v>0.02301113</v>
      </c>
      <c r="I17" s="6">
        <v>0.02124929</v>
      </c>
      <c r="J17" s="6">
        <v>0</v>
      </c>
      <c r="K17" s="6">
        <v>0.1085796</v>
      </c>
      <c r="L17" s="6">
        <v>0</v>
      </c>
      <c r="M17" s="6">
        <v>0.007419193</v>
      </c>
      <c r="N17" s="6">
        <v>0.009368246</v>
      </c>
      <c r="O17" s="6">
        <v>0</v>
      </c>
      <c r="P17" s="6">
        <v>0</v>
      </c>
      <c r="Q17" s="6">
        <v>0.053294683</v>
      </c>
      <c r="R17" s="6">
        <v>0.056435314</v>
      </c>
      <c r="S17" s="6">
        <v>0</v>
      </c>
      <c r="T17" s="6">
        <v>0.00516579</v>
      </c>
      <c r="U17" s="6">
        <v>0.405814277</v>
      </c>
      <c r="V17" s="6">
        <v>0</v>
      </c>
      <c r="W17" s="6">
        <v>0.003994904</v>
      </c>
      <c r="X17" s="6">
        <v>0.156756301</v>
      </c>
      <c r="Y17" s="6">
        <v>0</v>
      </c>
      <c r="Z17" s="6">
        <v>0</v>
      </c>
      <c r="AA17" s="6">
        <v>0</v>
      </c>
    </row>
    <row r="18" ht="15" spans="1:27">
      <c r="A18" s="6" t="s">
        <v>304</v>
      </c>
      <c r="B18" s="7" t="s">
        <v>29</v>
      </c>
      <c r="C18" s="7" t="s">
        <v>29</v>
      </c>
      <c r="D18" s="7" t="s">
        <v>31</v>
      </c>
      <c r="E18" s="7" t="s">
        <v>370</v>
      </c>
      <c r="F18" s="6">
        <v>0.031034755</v>
      </c>
      <c r="G18" s="6">
        <v>0</v>
      </c>
      <c r="H18" s="6">
        <v>0.001050054</v>
      </c>
      <c r="I18" s="6">
        <v>0.011594061</v>
      </c>
      <c r="J18" s="6">
        <v>0</v>
      </c>
      <c r="K18" s="6">
        <v>0.095068169</v>
      </c>
      <c r="L18" s="6">
        <v>0</v>
      </c>
      <c r="M18" s="6">
        <v>0</v>
      </c>
      <c r="N18" s="6">
        <v>0</v>
      </c>
      <c r="O18" s="6">
        <v>0</v>
      </c>
      <c r="P18" s="6">
        <v>0.016270928</v>
      </c>
      <c r="Q18" s="6">
        <v>0.011857867</v>
      </c>
      <c r="R18" s="6">
        <v>0.053041478</v>
      </c>
      <c r="S18" s="6">
        <v>0</v>
      </c>
      <c r="T18" s="6">
        <v>0</v>
      </c>
      <c r="U18" s="6">
        <v>0.738600144</v>
      </c>
      <c r="V18" s="6">
        <v>0</v>
      </c>
      <c r="W18" s="6">
        <v>0.003987757</v>
      </c>
      <c r="X18" s="6">
        <v>0.037129257</v>
      </c>
      <c r="Y18" s="6">
        <v>0</v>
      </c>
      <c r="Z18" s="6">
        <v>0</v>
      </c>
      <c r="AA18" s="6">
        <v>0.0004</v>
      </c>
    </row>
    <row r="19" ht="15" hidden="1" spans="1:27">
      <c r="A19" s="6" t="s">
        <v>197</v>
      </c>
      <c r="B19" s="7" t="s">
        <v>341</v>
      </c>
      <c r="C19" s="7" t="s">
        <v>29</v>
      </c>
      <c r="D19" s="7" t="s">
        <v>31</v>
      </c>
      <c r="E19" s="7" t="s">
        <v>370</v>
      </c>
      <c r="F19" s="6">
        <v>0</v>
      </c>
      <c r="G19" s="6">
        <v>0.046857108</v>
      </c>
      <c r="H19" s="6">
        <v>0.017661517</v>
      </c>
      <c r="I19" s="6">
        <v>0.106573774</v>
      </c>
      <c r="J19" s="6">
        <v>0</v>
      </c>
      <c r="K19" s="6">
        <v>0.034002617</v>
      </c>
      <c r="L19" s="6">
        <v>0.022967878</v>
      </c>
      <c r="M19" s="6">
        <v>0</v>
      </c>
      <c r="N19" s="6">
        <v>0.03545934</v>
      </c>
      <c r="O19" s="6">
        <v>0</v>
      </c>
      <c r="P19" s="6">
        <v>0.017433948</v>
      </c>
      <c r="Q19" s="6">
        <v>0</v>
      </c>
      <c r="R19" s="6">
        <v>0.071764185</v>
      </c>
      <c r="S19" s="6">
        <v>0</v>
      </c>
      <c r="T19" s="6">
        <v>0.054155676</v>
      </c>
      <c r="U19" s="6">
        <v>0.49209274</v>
      </c>
      <c r="V19" s="6">
        <v>0.005820272</v>
      </c>
      <c r="W19" s="6">
        <v>0</v>
      </c>
      <c r="X19" s="6">
        <v>0.089840025</v>
      </c>
      <c r="Y19" s="6">
        <v>0</v>
      </c>
      <c r="Z19" s="6">
        <v>0</v>
      </c>
      <c r="AA19" s="6">
        <v>0.00537092</v>
      </c>
    </row>
    <row r="20" ht="15" spans="1:27">
      <c r="A20" s="6" t="s">
        <v>125</v>
      </c>
      <c r="B20" s="7" t="s">
        <v>29</v>
      </c>
      <c r="C20" s="7" t="s">
        <v>29</v>
      </c>
      <c r="D20" s="7" t="s">
        <v>31</v>
      </c>
      <c r="E20" s="7" t="s">
        <v>370</v>
      </c>
      <c r="F20" s="6">
        <v>0.088659665</v>
      </c>
      <c r="G20" s="6">
        <v>0</v>
      </c>
      <c r="H20" s="6">
        <v>0</v>
      </c>
      <c r="I20" s="6">
        <v>0.028190785</v>
      </c>
      <c r="J20" s="6">
        <v>0</v>
      </c>
      <c r="K20" s="6">
        <v>0.060766167</v>
      </c>
      <c r="L20" s="6">
        <v>0</v>
      </c>
      <c r="M20" s="6">
        <v>0</v>
      </c>
      <c r="N20" s="6">
        <v>0.008684113</v>
      </c>
      <c r="O20" s="6">
        <v>0.002066678</v>
      </c>
      <c r="P20" s="6">
        <v>0</v>
      </c>
      <c r="Q20" s="6">
        <v>0.038014143</v>
      </c>
      <c r="R20" s="6">
        <v>0.086691071</v>
      </c>
      <c r="S20" s="6">
        <v>0</v>
      </c>
      <c r="T20" s="6">
        <v>0.005797587</v>
      </c>
      <c r="U20" s="6">
        <v>0.566190922</v>
      </c>
      <c r="V20" s="6">
        <v>0</v>
      </c>
      <c r="W20" s="6">
        <v>0.004751974</v>
      </c>
      <c r="X20" s="6">
        <v>0.107109932</v>
      </c>
      <c r="Y20" s="6">
        <v>0</v>
      </c>
      <c r="Z20" s="6">
        <v>0</v>
      </c>
      <c r="AA20" s="6">
        <v>0.003076963</v>
      </c>
    </row>
    <row r="21" ht="15" hidden="1" spans="1:27">
      <c r="A21" s="6" t="s">
        <v>213</v>
      </c>
      <c r="B21" s="7" t="s">
        <v>344</v>
      </c>
      <c r="C21" s="7" t="s">
        <v>29</v>
      </c>
      <c r="D21" s="7" t="s">
        <v>18</v>
      </c>
      <c r="E21" s="7" t="s">
        <v>370</v>
      </c>
      <c r="F21" s="6">
        <v>0.036809283</v>
      </c>
      <c r="G21" s="6">
        <v>0</v>
      </c>
      <c r="H21" s="6">
        <v>0</v>
      </c>
      <c r="I21" s="6">
        <v>0.019652548</v>
      </c>
      <c r="J21" s="6">
        <v>0</v>
      </c>
      <c r="K21" s="6">
        <v>0.177137196</v>
      </c>
      <c r="L21" s="6">
        <v>0.002302088</v>
      </c>
      <c r="M21" s="6">
        <v>0</v>
      </c>
      <c r="N21" s="6">
        <v>0.017939485</v>
      </c>
      <c r="O21" s="6">
        <v>0</v>
      </c>
      <c r="P21" s="6">
        <v>0.018209348</v>
      </c>
      <c r="Q21" s="6">
        <v>0.00242403</v>
      </c>
      <c r="R21" s="6">
        <v>0.109673358</v>
      </c>
      <c r="S21" s="6">
        <v>0</v>
      </c>
      <c r="T21" s="6">
        <v>0.065255221</v>
      </c>
      <c r="U21" s="6">
        <v>0.502477372</v>
      </c>
      <c r="V21" s="6">
        <v>0</v>
      </c>
      <c r="W21" s="6">
        <v>0</v>
      </c>
      <c r="X21" s="6">
        <v>0.042622136</v>
      </c>
      <c r="Y21" s="6">
        <v>0</v>
      </c>
      <c r="Z21" s="6">
        <v>0</v>
      </c>
      <c r="AA21" s="6">
        <v>0.005497935</v>
      </c>
    </row>
    <row r="22" ht="15" spans="1:27">
      <c r="A22" s="6" t="s">
        <v>278</v>
      </c>
      <c r="B22" s="7" t="s">
        <v>29</v>
      </c>
      <c r="C22" s="7" t="s">
        <v>29</v>
      </c>
      <c r="D22" s="7" t="s">
        <v>18</v>
      </c>
      <c r="E22" s="7" t="s">
        <v>370</v>
      </c>
      <c r="F22" s="6">
        <v>0.106783508</v>
      </c>
      <c r="G22" s="6">
        <v>0</v>
      </c>
      <c r="H22" s="6">
        <v>0.011365209</v>
      </c>
      <c r="I22" s="6">
        <v>0.009023959</v>
      </c>
      <c r="J22" s="6">
        <v>0</v>
      </c>
      <c r="K22" s="6">
        <v>0.172222328</v>
      </c>
      <c r="L22" s="6">
        <v>0</v>
      </c>
      <c r="M22" s="6">
        <v>0.0004</v>
      </c>
      <c r="N22" s="6">
        <v>0.034655705</v>
      </c>
      <c r="O22" s="6">
        <v>0</v>
      </c>
      <c r="P22" s="6">
        <v>0.021932907</v>
      </c>
      <c r="Q22" s="6">
        <v>0.018018612</v>
      </c>
      <c r="R22" s="6">
        <v>0.081046671</v>
      </c>
      <c r="S22" s="6">
        <v>0</v>
      </c>
      <c r="T22" s="6">
        <v>0.012301497</v>
      </c>
      <c r="U22" s="6">
        <v>0.445309393</v>
      </c>
      <c r="V22" s="6">
        <v>0</v>
      </c>
      <c r="W22" s="6">
        <v>0</v>
      </c>
      <c r="X22" s="6">
        <v>0.086942185</v>
      </c>
      <c r="Y22" s="6">
        <v>0</v>
      </c>
      <c r="Z22" s="6">
        <v>0</v>
      </c>
      <c r="AA22" s="6">
        <v>0</v>
      </c>
    </row>
    <row r="23" ht="15" hidden="1" spans="1:27">
      <c r="A23" s="6" t="s">
        <v>129</v>
      </c>
      <c r="B23" s="7" t="s">
        <v>344</v>
      </c>
      <c r="C23" s="7" t="s">
        <v>29</v>
      </c>
      <c r="D23" s="7" t="s">
        <v>18</v>
      </c>
      <c r="E23" s="7" t="s">
        <v>370</v>
      </c>
      <c r="F23" s="6">
        <v>0.06455093</v>
      </c>
      <c r="G23" s="6">
        <v>0</v>
      </c>
      <c r="H23" s="6">
        <v>0.004430632</v>
      </c>
      <c r="I23" s="6">
        <v>0.061288743</v>
      </c>
      <c r="J23" s="6">
        <v>0</v>
      </c>
      <c r="K23" s="6">
        <v>0.231627718</v>
      </c>
      <c r="L23" s="6">
        <v>0</v>
      </c>
      <c r="M23" s="6">
        <v>0</v>
      </c>
      <c r="N23" s="6">
        <v>0</v>
      </c>
      <c r="O23" s="6">
        <v>0</v>
      </c>
      <c r="P23" s="6">
        <v>0.025252074</v>
      </c>
      <c r="Q23" s="6">
        <v>0.006552367</v>
      </c>
      <c r="R23" s="6">
        <v>0.094351037</v>
      </c>
      <c r="S23" s="6">
        <v>0</v>
      </c>
      <c r="T23" s="6">
        <v>0.01961138</v>
      </c>
      <c r="U23" s="6">
        <v>0.395249615</v>
      </c>
      <c r="V23" s="6">
        <v>0.014792435</v>
      </c>
      <c r="W23" s="6">
        <v>0.006648817</v>
      </c>
      <c r="X23" s="6">
        <v>0.075644253</v>
      </c>
      <c r="Y23" s="6">
        <v>0</v>
      </c>
      <c r="Z23" s="6">
        <v>0</v>
      </c>
      <c r="AA23" s="6">
        <v>0</v>
      </c>
    </row>
    <row r="24" ht="15" hidden="1" spans="1:27">
      <c r="A24" s="6" t="s">
        <v>115</v>
      </c>
      <c r="B24" s="7" t="s">
        <v>344</v>
      </c>
      <c r="C24" s="7" t="s">
        <v>344</v>
      </c>
      <c r="D24" s="7" t="s">
        <v>18</v>
      </c>
      <c r="E24" s="7" t="s">
        <v>370</v>
      </c>
      <c r="F24" s="6">
        <v>0.034361699</v>
      </c>
      <c r="G24" s="6">
        <v>0</v>
      </c>
      <c r="H24" s="6">
        <v>0.019622115</v>
      </c>
      <c r="I24" s="6">
        <v>0.05555703</v>
      </c>
      <c r="J24" s="6">
        <v>0</v>
      </c>
      <c r="K24" s="6">
        <v>0.214840218</v>
      </c>
      <c r="L24" s="6">
        <v>0</v>
      </c>
      <c r="M24" s="6">
        <v>0</v>
      </c>
      <c r="N24" s="6">
        <v>0.019457277</v>
      </c>
      <c r="O24" s="6">
        <v>0</v>
      </c>
      <c r="P24" s="6">
        <v>0.006880887</v>
      </c>
      <c r="Q24" s="6">
        <v>0.005104185</v>
      </c>
      <c r="R24" s="6">
        <v>0.047600429</v>
      </c>
      <c r="S24" s="6">
        <v>0</v>
      </c>
      <c r="T24" s="6">
        <v>0.048021597</v>
      </c>
      <c r="U24" s="6">
        <v>0.433776995</v>
      </c>
      <c r="V24" s="6">
        <v>0.03136204</v>
      </c>
      <c r="W24" s="6">
        <v>0</v>
      </c>
      <c r="X24" s="6">
        <v>0.083415527</v>
      </c>
      <c r="Y24" s="6">
        <v>0</v>
      </c>
      <c r="Z24" s="6">
        <v>0</v>
      </c>
      <c r="AA24" s="6">
        <v>0</v>
      </c>
    </row>
    <row r="25" ht="15" hidden="1" spans="1:27">
      <c r="A25" s="6" t="s">
        <v>82</v>
      </c>
      <c r="B25" s="7" t="s">
        <v>344</v>
      </c>
      <c r="C25" s="7" t="s">
        <v>29</v>
      </c>
      <c r="D25" s="7" t="s">
        <v>18</v>
      </c>
      <c r="E25" s="7" t="s">
        <v>370</v>
      </c>
      <c r="F25" s="6">
        <v>0.116821729</v>
      </c>
      <c r="G25" s="6">
        <v>0</v>
      </c>
      <c r="H25" s="6">
        <v>0</v>
      </c>
      <c r="I25" s="6">
        <v>0.022487273</v>
      </c>
      <c r="J25" s="6">
        <v>0</v>
      </c>
      <c r="K25" s="6">
        <v>0.171999457</v>
      </c>
      <c r="L25" s="6">
        <v>0</v>
      </c>
      <c r="M25" s="6">
        <v>0.01660934</v>
      </c>
      <c r="N25" s="6">
        <v>0.002706501</v>
      </c>
      <c r="O25" s="6">
        <v>0</v>
      </c>
      <c r="P25" s="6">
        <v>0.012495038</v>
      </c>
      <c r="Q25" s="6">
        <v>0.011077874</v>
      </c>
      <c r="R25" s="6">
        <v>0.05718034</v>
      </c>
      <c r="S25" s="6">
        <v>0</v>
      </c>
      <c r="T25" s="6">
        <v>0.009507345</v>
      </c>
      <c r="U25" s="6">
        <v>0.491329492</v>
      </c>
      <c r="V25" s="6">
        <v>0</v>
      </c>
      <c r="W25" s="6">
        <v>0.014403809</v>
      </c>
      <c r="X25" s="6">
        <v>0.073381803</v>
      </c>
      <c r="Y25" s="6">
        <v>0</v>
      </c>
      <c r="Z25" s="6">
        <v>0</v>
      </c>
      <c r="AA25" s="6">
        <v>0</v>
      </c>
    </row>
    <row r="26" ht="15" hidden="1" spans="1:27">
      <c r="A26" s="6" t="s">
        <v>249</v>
      </c>
      <c r="B26" s="7" t="s">
        <v>344</v>
      </c>
      <c r="C26" s="7" t="s">
        <v>29</v>
      </c>
      <c r="D26" s="7" t="s">
        <v>18</v>
      </c>
      <c r="E26" s="7" t="s">
        <v>370</v>
      </c>
      <c r="F26" s="6">
        <v>0.098253651</v>
      </c>
      <c r="G26" s="6">
        <v>0</v>
      </c>
      <c r="H26" s="6">
        <v>0</v>
      </c>
      <c r="I26" s="6">
        <v>0.066400275</v>
      </c>
      <c r="J26" s="6">
        <v>0</v>
      </c>
      <c r="K26" s="6">
        <v>0.082203464</v>
      </c>
      <c r="L26" s="6">
        <v>0</v>
      </c>
      <c r="M26" s="6">
        <v>0.00159717</v>
      </c>
      <c r="N26" s="6">
        <v>0.0343231</v>
      </c>
      <c r="O26" s="6">
        <v>0</v>
      </c>
      <c r="P26" s="6">
        <v>0.019377425</v>
      </c>
      <c r="Q26" s="6">
        <v>0.033445721</v>
      </c>
      <c r="R26" s="6">
        <v>0.037217856</v>
      </c>
      <c r="S26" s="6">
        <v>0</v>
      </c>
      <c r="T26" s="6">
        <v>0.19581016</v>
      </c>
      <c r="U26" s="6">
        <v>0.347115939</v>
      </c>
      <c r="V26" s="6">
        <v>0</v>
      </c>
      <c r="W26" s="6">
        <v>0</v>
      </c>
      <c r="X26" s="6">
        <v>0.084255239</v>
      </c>
      <c r="Y26" s="6">
        <v>0</v>
      </c>
      <c r="Z26" s="6">
        <v>0</v>
      </c>
      <c r="AA26" s="6">
        <v>0</v>
      </c>
    </row>
    <row r="27" ht="15" spans="1:27">
      <c r="A27" s="6" t="s">
        <v>306</v>
      </c>
      <c r="B27" s="7" t="s">
        <v>29</v>
      </c>
      <c r="C27" s="7" t="s">
        <v>29</v>
      </c>
      <c r="D27" s="7" t="s">
        <v>18</v>
      </c>
      <c r="E27" s="7" t="s">
        <v>370</v>
      </c>
      <c r="F27" s="6">
        <v>0.185702377</v>
      </c>
      <c r="G27" s="6">
        <v>0</v>
      </c>
      <c r="H27" s="6">
        <v>0</v>
      </c>
      <c r="I27" s="6">
        <v>0.027665416</v>
      </c>
      <c r="J27" s="6">
        <v>0</v>
      </c>
      <c r="K27" s="6">
        <v>0.195547009</v>
      </c>
      <c r="L27" s="6">
        <v>0</v>
      </c>
      <c r="M27" s="6">
        <v>0</v>
      </c>
      <c r="N27" s="6">
        <v>0.03587888</v>
      </c>
      <c r="O27" s="6">
        <v>0</v>
      </c>
      <c r="P27" s="6">
        <v>0</v>
      </c>
      <c r="Q27" s="6">
        <v>0.025106275</v>
      </c>
      <c r="R27" s="6">
        <v>0.058258708</v>
      </c>
      <c r="S27" s="6">
        <v>0.010109878</v>
      </c>
      <c r="T27" s="6">
        <v>0.024944915</v>
      </c>
      <c r="U27" s="6">
        <v>0.390575645</v>
      </c>
      <c r="V27" s="6">
        <v>0</v>
      </c>
      <c r="W27" s="6">
        <v>0</v>
      </c>
      <c r="X27" s="6">
        <v>0.046210899</v>
      </c>
      <c r="Y27" s="6">
        <v>0</v>
      </c>
      <c r="Z27" s="6">
        <v>0</v>
      </c>
      <c r="AA27" s="6">
        <v>0</v>
      </c>
    </row>
    <row r="28" ht="15" hidden="1" spans="1:27">
      <c r="A28" s="6" t="s">
        <v>215</v>
      </c>
      <c r="B28" s="7" t="s">
        <v>344</v>
      </c>
      <c r="C28" s="7" t="s">
        <v>29</v>
      </c>
      <c r="D28" s="7" t="s">
        <v>18</v>
      </c>
      <c r="E28" s="7" t="s">
        <v>370</v>
      </c>
      <c r="F28" s="6">
        <v>0.113432757</v>
      </c>
      <c r="G28" s="6">
        <v>0</v>
      </c>
      <c r="H28" s="6">
        <v>0</v>
      </c>
      <c r="I28" s="6">
        <v>0.017509402</v>
      </c>
      <c r="J28" s="6">
        <v>0</v>
      </c>
      <c r="K28" s="6">
        <v>0.216951202</v>
      </c>
      <c r="L28" s="6">
        <v>0</v>
      </c>
      <c r="M28" s="6">
        <v>0</v>
      </c>
      <c r="N28" s="6">
        <v>0.002890014</v>
      </c>
      <c r="O28" s="6">
        <v>0</v>
      </c>
      <c r="P28" s="6">
        <v>0.020209799</v>
      </c>
      <c r="Q28" s="6">
        <v>0.036628191</v>
      </c>
      <c r="R28" s="6">
        <v>0.034267622</v>
      </c>
      <c r="S28" s="6">
        <v>0</v>
      </c>
      <c r="T28" s="6">
        <v>0.093215252</v>
      </c>
      <c r="U28" s="6">
        <v>0.357944309</v>
      </c>
      <c r="V28" s="6">
        <v>0</v>
      </c>
      <c r="W28" s="6">
        <v>0</v>
      </c>
      <c r="X28" s="6">
        <v>0.106951451</v>
      </c>
      <c r="Y28" s="6">
        <v>0</v>
      </c>
      <c r="Z28" s="6">
        <v>0</v>
      </c>
      <c r="AA28" s="6">
        <v>0</v>
      </c>
    </row>
    <row r="29" ht="15" spans="1:27">
      <c r="A29" s="6" t="s">
        <v>206</v>
      </c>
      <c r="B29" s="7" t="s">
        <v>29</v>
      </c>
      <c r="C29" s="7" t="s">
        <v>29</v>
      </c>
      <c r="D29" s="7" t="s">
        <v>31</v>
      </c>
      <c r="E29" s="7" t="s">
        <v>370</v>
      </c>
      <c r="F29" s="6">
        <v>0.062283523</v>
      </c>
      <c r="G29" s="6">
        <v>0</v>
      </c>
      <c r="H29" s="6">
        <v>0</v>
      </c>
      <c r="I29" s="6">
        <v>0</v>
      </c>
      <c r="J29" s="6">
        <v>0</v>
      </c>
      <c r="K29" s="6">
        <v>0.155943128</v>
      </c>
      <c r="L29" s="6">
        <v>0</v>
      </c>
      <c r="M29" s="6">
        <v>0</v>
      </c>
      <c r="N29" s="6">
        <v>0</v>
      </c>
      <c r="O29" s="6">
        <v>0</v>
      </c>
      <c r="P29" s="6">
        <v>0.019692375</v>
      </c>
      <c r="Q29" s="6">
        <v>0.015282219</v>
      </c>
      <c r="R29" s="6">
        <v>0.119001198</v>
      </c>
      <c r="S29" s="6">
        <v>0</v>
      </c>
      <c r="T29" s="6">
        <v>0.013008486</v>
      </c>
      <c r="U29" s="6">
        <v>0.491589777</v>
      </c>
      <c r="V29" s="6">
        <v>0</v>
      </c>
      <c r="W29" s="6">
        <v>0.06435002</v>
      </c>
      <c r="X29" s="6">
        <v>0.058849275</v>
      </c>
      <c r="Y29" s="6">
        <v>0</v>
      </c>
      <c r="Z29" s="6">
        <v>0</v>
      </c>
      <c r="AA29" s="6">
        <v>0</v>
      </c>
    </row>
    <row r="30" ht="15" spans="1:27">
      <c r="A30" s="6" t="s">
        <v>275</v>
      </c>
      <c r="B30" s="7" t="s">
        <v>29</v>
      </c>
      <c r="C30" s="7" t="s">
        <v>29</v>
      </c>
      <c r="D30" s="7" t="s">
        <v>18</v>
      </c>
      <c r="E30" s="7" t="s">
        <v>370</v>
      </c>
      <c r="F30" s="6">
        <v>0.029362939</v>
      </c>
      <c r="G30" s="6">
        <v>0</v>
      </c>
      <c r="H30" s="6">
        <v>0.01549979</v>
      </c>
      <c r="I30" s="6">
        <v>0.058785254</v>
      </c>
      <c r="J30" s="6">
        <v>0</v>
      </c>
      <c r="K30" s="6">
        <v>0.177180446</v>
      </c>
      <c r="L30" s="6">
        <v>0</v>
      </c>
      <c r="M30" s="6">
        <v>0.003612312</v>
      </c>
      <c r="N30" s="6">
        <v>0</v>
      </c>
      <c r="O30" s="6">
        <v>0</v>
      </c>
      <c r="P30" s="6">
        <v>0.005604674</v>
      </c>
      <c r="Q30" s="6">
        <v>0.015932924</v>
      </c>
      <c r="R30" s="6">
        <v>0.076028569</v>
      </c>
      <c r="S30" s="6">
        <v>0</v>
      </c>
      <c r="T30" s="6">
        <v>0.062213002</v>
      </c>
      <c r="U30" s="6">
        <v>0.387535323</v>
      </c>
      <c r="V30" s="6">
        <v>0</v>
      </c>
      <c r="W30" s="6">
        <v>0</v>
      </c>
      <c r="X30" s="6">
        <v>0.168225385</v>
      </c>
      <c r="Y30" s="6">
        <v>0</v>
      </c>
      <c r="Z30" s="6">
        <v>0</v>
      </c>
      <c r="AA30" s="6">
        <v>0</v>
      </c>
    </row>
    <row r="31" ht="15" hidden="1" spans="1:27">
      <c r="A31" s="6" t="s">
        <v>143</v>
      </c>
      <c r="B31" s="7" t="s">
        <v>29</v>
      </c>
      <c r="C31" s="7" t="s">
        <v>341</v>
      </c>
      <c r="D31" s="7" t="s">
        <v>31</v>
      </c>
      <c r="E31" s="7" t="s">
        <v>370</v>
      </c>
      <c r="F31" s="6">
        <v>0.114872861</v>
      </c>
      <c r="G31" s="6">
        <v>0</v>
      </c>
      <c r="H31" s="6">
        <v>0.016775188</v>
      </c>
      <c r="I31" s="6">
        <v>0.158741638</v>
      </c>
      <c r="J31" s="6">
        <v>0</v>
      </c>
      <c r="K31" s="6">
        <v>0.127575247</v>
      </c>
      <c r="L31" s="6">
        <v>0.011245393</v>
      </c>
      <c r="M31" s="6">
        <v>0.009857266</v>
      </c>
      <c r="N31" s="6">
        <v>0.012268641</v>
      </c>
      <c r="O31" s="6">
        <v>0</v>
      </c>
      <c r="P31" s="6">
        <v>0</v>
      </c>
      <c r="Q31" s="6">
        <v>0</v>
      </c>
      <c r="R31" s="6">
        <v>0.056358081</v>
      </c>
      <c r="S31" s="6">
        <v>0.058662938</v>
      </c>
      <c r="T31" s="6">
        <v>0.057389096</v>
      </c>
      <c r="U31" s="6">
        <v>0.368002064</v>
      </c>
      <c r="V31" s="6">
        <v>0</v>
      </c>
      <c r="W31" s="6">
        <v>0</v>
      </c>
      <c r="X31" s="6">
        <v>0.006765232</v>
      </c>
      <c r="Y31" s="6">
        <v>0</v>
      </c>
      <c r="Z31" s="6">
        <v>0</v>
      </c>
      <c r="AA31" s="6">
        <v>0.001486355</v>
      </c>
    </row>
    <row r="32" ht="15" hidden="1" spans="1:27">
      <c r="A32" s="6" t="s">
        <v>113</v>
      </c>
      <c r="B32" s="7" t="s">
        <v>344</v>
      </c>
      <c r="C32" s="7" t="s">
        <v>344</v>
      </c>
      <c r="D32" s="7" t="s">
        <v>31</v>
      </c>
      <c r="E32" s="7" t="s">
        <v>370</v>
      </c>
      <c r="F32" s="6">
        <v>0.021466798</v>
      </c>
      <c r="G32" s="6">
        <v>0</v>
      </c>
      <c r="H32" s="6">
        <v>0</v>
      </c>
      <c r="I32" s="6">
        <v>0.038662864</v>
      </c>
      <c r="J32" s="6">
        <v>0</v>
      </c>
      <c r="K32" s="6">
        <v>0.145303143</v>
      </c>
      <c r="L32" s="6">
        <v>0</v>
      </c>
      <c r="M32" s="6">
        <v>0</v>
      </c>
      <c r="N32" s="6">
        <v>0.012793222</v>
      </c>
      <c r="O32" s="6">
        <v>0</v>
      </c>
      <c r="P32" s="6">
        <v>0</v>
      </c>
      <c r="Q32" s="6">
        <v>0.041845783</v>
      </c>
      <c r="R32" s="6">
        <v>0.046224923</v>
      </c>
      <c r="S32" s="6">
        <v>0</v>
      </c>
      <c r="T32" s="6">
        <v>0.034287264</v>
      </c>
      <c r="U32" s="6">
        <v>0.616830789</v>
      </c>
      <c r="V32" s="6">
        <v>0</v>
      </c>
      <c r="W32" s="6">
        <v>0</v>
      </c>
      <c r="X32" s="6">
        <v>0.040616404</v>
      </c>
      <c r="Y32" s="6">
        <v>0</v>
      </c>
      <c r="Z32" s="6">
        <v>0</v>
      </c>
      <c r="AA32" s="6">
        <v>0.00196881</v>
      </c>
    </row>
    <row r="33" ht="15" hidden="1" spans="1:27">
      <c r="A33" s="6" t="s">
        <v>65</v>
      </c>
      <c r="B33" s="7" t="s">
        <v>341</v>
      </c>
      <c r="C33" s="7" t="s">
        <v>341</v>
      </c>
      <c r="D33" s="7" t="s">
        <v>51</v>
      </c>
      <c r="E33" s="7" t="s">
        <v>370</v>
      </c>
      <c r="F33" s="6">
        <v>0.00336954</v>
      </c>
      <c r="G33" s="6">
        <v>0</v>
      </c>
      <c r="H33" s="6">
        <v>0</v>
      </c>
      <c r="I33" s="6">
        <v>0.131151533</v>
      </c>
      <c r="J33" s="6">
        <v>0</v>
      </c>
      <c r="K33" s="6">
        <v>0.197810196</v>
      </c>
      <c r="L33" s="6">
        <v>0</v>
      </c>
      <c r="M33" s="6">
        <v>0</v>
      </c>
      <c r="N33" s="6">
        <v>0</v>
      </c>
      <c r="O33" s="6">
        <v>0</v>
      </c>
      <c r="P33" s="6">
        <v>0.021431189</v>
      </c>
      <c r="Q33" s="6">
        <v>0.015283575</v>
      </c>
      <c r="R33" s="6">
        <v>0.032897712</v>
      </c>
      <c r="S33" s="6">
        <v>0</v>
      </c>
      <c r="T33" s="6">
        <v>0.182862771</v>
      </c>
      <c r="U33" s="6">
        <v>0.356924946</v>
      </c>
      <c r="V33" s="6">
        <v>0</v>
      </c>
      <c r="W33" s="6">
        <v>0.003655945</v>
      </c>
      <c r="X33" s="6">
        <v>0.054612594</v>
      </c>
      <c r="Y33" s="6">
        <v>0</v>
      </c>
      <c r="Z33" s="6">
        <v>0</v>
      </c>
      <c r="AA33" s="6">
        <v>0</v>
      </c>
    </row>
    <row r="34" ht="15" hidden="1" spans="1:27">
      <c r="A34" s="6" t="s">
        <v>293</v>
      </c>
      <c r="B34" s="7" t="s">
        <v>29</v>
      </c>
      <c r="C34" s="7" t="s">
        <v>341</v>
      </c>
      <c r="D34" s="7" t="s">
        <v>51</v>
      </c>
      <c r="E34" s="7" t="s">
        <v>370</v>
      </c>
      <c r="F34" s="6">
        <v>0.096980439</v>
      </c>
      <c r="G34" s="6">
        <v>0</v>
      </c>
      <c r="H34" s="6">
        <v>0</v>
      </c>
      <c r="I34" s="6">
        <v>0.025937089</v>
      </c>
      <c r="J34" s="6">
        <v>0</v>
      </c>
      <c r="K34" s="6">
        <v>0.084737585</v>
      </c>
      <c r="L34" s="6">
        <v>0</v>
      </c>
      <c r="M34" s="6">
        <v>0</v>
      </c>
      <c r="N34" s="6">
        <v>0.0003</v>
      </c>
      <c r="O34" s="6">
        <v>0</v>
      </c>
      <c r="P34" s="6">
        <v>0</v>
      </c>
      <c r="Q34" s="6">
        <v>0.049027511</v>
      </c>
      <c r="R34" s="6">
        <v>0.146907378</v>
      </c>
      <c r="S34" s="6">
        <v>0</v>
      </c>
      <c r="T34" s="6">
        <v>0.021690132</v>
      </c>
      <c r="U34" s="6">
        <v>0.433988627</v>
      </c>
      <c r="V34" s="6">
        <v>0</v>
      </c>
      <c r="W34" s="6">
        <v>0</v>
      </c>
      <c r="X34" s="6">
        <v>0.140383362</v>
      </c>
      <c r="Y34" s="6">
        <v>0</v>
      </c>
      <c r="Z34" s="6">
        <v>0</v>
      </c>
      <c r="AA34" s="6">
        <v>0</v>
      </c>
    </row>
    <row r="35" ht="15" hidden="1" spans="1:27">
      <c r="A35" s="6" t="s">
        <v>277</v>
      </c>
      <c r="B35" s="7" t="s">
        <v>29</v>
      </c>
      <c r="C35" s="7" t="s">
        <v>341</v>
      </c>
      <c r="D35" s="7" t="s">
        <v>51</v>
      </c>
      <c r="E35" s="7" t="s">
        <v>370</v>
      </c>
      <c r="F35" s="6">
        <v>0.042812356</v>
      </c>
      <c r="G35" s="6">
        <v>0</v>
      </c>
      <c r="H35" s="6">
        <v>0</v>
      </c>
      <c r="I35" s="6">
        <v>0.039180104</v>
      </c>
      <c r="J35" s="6">
        <v>0</v>
      </c>
      <c r="K35" s="6">
        <v>0.189259082</v>
      </c>
      <c r="L35" s="6">
        <v>0</v>
      </c>
      <c r="M35" s="6">
        <v>0</v>
      </c>
      <c r="N35" s="6">
        <v>0.01044283</v>
      </c>
      <c r="O35" s="6">
        <v>0</v>
      </c>
      <c r="P35" s="6">
        <v>0</v>
      </c>
      <c r="Q35" s="6">
        <v>0.05732776</v>
      </c>
      <c r="R35" s="6">
        <v>0.044226294</v>
      </c>
      <c r="S35" s="6">
        <v>0</v>
      </c>
      <c r="T35" s="6">
        <v>0.103111611</v>
      </c>
      <c r="U35" s="6">
        <v>0.368895162</v>
      </c>
      <c r="V35" s="6">
        <v>0.0003</v>
      </c>
      <c r="W35" s="6">
        <v>0</v>
      </c>
      <c r="X35" s="6">
        <v>0.14448336</v>
      </c>
      <c r="Y35" s="6">
        <v>0</v>
      </c>
      <c r="Z35" s="6">
        <v>0</v>
      </c>
      <c r="AA35" s="6">
        <v>0</v>
      </c>
    </row>
    <row r="36" ht="15" hidden="1" spans="1:27">
      <c r="A36" s="6" t="s">
        <v>132</v>
      </c>
      <c r="B36" s="7" t="s">
        <v>29</v>
      </c>
      <c r="C36" s="7" t="s">
        <v>341</v>
      </c>
      <c r="D36" s="7" t="s">
        <v>51</v>
      </c>
      <c r="E36" s="7" t="s">
        <v>370</v>
      </c>
      <c r="F36" s="6">
        <v>0.148875757</v>
      </c>
      <c r="G36" s="6">
        <v>0</v>
      </c>
      <c r="H36" s="6">
        <v>0</v>
      </c>
      <c r="I36" s="6">
        <v>0</v>
      </c>
      <c r="J36" s="6">
        <v>0</v>
      </c>
      <c r="K36" s="6">
        <v>0.20832109</v>
      </c>
      <c r="L36" s="6">
        <v>0</v>
      </c>
      <c r="M36" s="6">
        <v>0</v>
      </c>
      <c r="N36" s="6">
        <v>0.049523656</v>
      </c>
      <c r="O36" s="6">
        <v>0</v>
      </c>
      <c r="P36" s="6">
        <v>0</v>
      </c>
      <c r="Q36" s="6">
        <v>0.078798271</v>
      </c>
      <c r="R36" s="6">
        <v>0.056236837</v>
      </c>
      <c r="S36" s="6">
        <v>0</v>
      </c>
      <c r="T36" s="6">
        <v>0.013212981</v>
      </c>
      <c r="U36" s="6">
        <v>0.36069453</v>
      </c>
      <c r="V36" s="6">
        <v>0</v>
      </c>
      <c r="W36" s="6">
        <v>0.010519945</v>
      </c>
      <c r="X36" s="6">
        <v>0.073816933</v>
      </c>
      <c r="Y36" s="6">
        <v>0</v>
      </c>
      <c r="Z36" s="6">
        <v>0</v>
      </c>
      <c r="AA36" s="6">
        <v>0</v>
      </c>
    </row>
    <row r="37" ht="15" hidden="1" spans="1:27">
      <c r="A37" s="6" t="s">
        <v>172</v>
      </c>
      <c r="B37" s="7" t="s">
        <v>29</v>
      </c>
      <c r="C37" s="7" t="s">
        <v>341</v>
      </c>
      <c r="D37" s="7" t="s">
        <v>51</v>
      </c>
      <c r="E37" s="7" t="s">
        <v>370</v>
      </c>
      <c r="F37" s="6">
        <v>0.049701133</v>
      </c>
      <c r="G37" s="6">
        <v>0</v>
      </c>
      <c r="H37" s="6">
        <v>0</v>
      </c>
      <c r="I37" s="6">
        <v>0.190622473</v>
      </c>
      <c r="J37" s="6">
        <v>0</v>
      </c>
      <c r="K37" s="6">
        <v>0.081380179</v>
      </c>
      <c r="L37" s="6">
        <v>0.004580938</v>
      </c>
      <c r="M37" s="6">
        <v>0.011012659</v>
      </c>
      <c r="N37" s="6">
        <v>0.018783437</v>
      </c>
      <c r="O37" s="6">
        <v>0</v>
      </c>
      <c r="P37" s="6">
        <v>0.018866709</v>
      </c>
      <c r="Q37" s="6">
        <v>0</v>
      </c>
      <c r="R37" s="6">
        <v>0.036060009</v>
      </c>
      <c r="S37" s="6">
        <v>0</v>
      </c>
      <c r="T37" s="6">
        <v>0.099472166</v>
      </c>
      <c r="U37" s="6">
        <v>0.477245906</v>
      </c>
      <c r="V37" s="6">
        <v>0</v>
      </c>
      <c r="W37" s="6">
        <v>0</v>
      </c>
      <c r="X37" s="6">
        <v>0.012274392</v>
      </c>
      <c r="Y37" s="6">
        <v>0</v>
      </c>
      <c r="Z37" s="6">
        <v>0</v>
      </c>
      <c r="AA37" s="6">
        <v>0</v>
      </c>
    </row>
    <row r="38" ht="15" hidden="1" spans="1:27">
      <c r="A38" s="6" t="s">
        <v>234</v>
      </c>
      <c r="B38" s="7" t="s">
        <v>344</v>
      </c>
      <c r="C38" s="7" t="s">
        <v>341</v>
      </c>
      <c r="D38" s="7" t="s">
        <v>51</v>
      </c>
      <c r="E38" s="7" t="s">
        <v>370</v>
      </c>
      <c r="F38" s="6">
        <v>0.055173971</v>
      </c>
      <c r="G38" s="6">
        <v>0</v>
      </c>
      <c r="H38" s="6">
        <v>0</v>
      </c>
      <c r="I38" s="6">
        <v>0</v>
      </c>
      <c r="J38" s="6">
        <v>0</v>
      </c>
      <c r="K38" s="6">
        <v>0.206925147</v>
      </c>
      <c r="L38" s="6">
        <v>0</v>
      </c>
      <c r="M38" s="6">
        <v>0</v>
      </c>
      <c r="N38" s="6">
        <v>0</v>
      </c>
      <c r="O38" s="6">
        <v>0</v>
      </c>
      <c r="P38" s="6">
        <v>0.014058844</v>
      </c>
      <c r="Q38" s="6">
        <v>0.025374804</v>
      </c>
      <c r="R38" s="6">
        <v>0.049152067</v>
      </c>
      <c r="S38" s="6">
        <v>0.139245795</v>
      </c>
      <c r="T38" s="6">
        <v>0</v>
      </c>
      <c r="U38" s="6">
        <v>0.471589998</v>
      </c>
      <c r="V38" s="6">
        <v>0</v>
      </c>
      <c r="W38" s="6">
        <v>0.038013312</v>
      </c>
      <c r="X38" s="6">
        <v>0</v>
      </c>
      <c r="Y38" s="6">
        <v>0.0005</v>
      </c>
      <c r="Z38" s="6">
        <v>0</v>
      </c>
      <c r="AA38" s="6">
        <v>0</v>
      </c>
    </row>
    <row r="39" ht="15" hidden="1" spans="1:27">
      <c r="A39" s="6" t="s">
        <v>164</v>
      </c>
      <c r="B39" s="7" t="s">
        <v>29</v>
      </c>
      <c r="C39" s="7" t="s">
        <v>341</v>
      </c>
      <c r="D39" s="7" t="s">
        <v>51</v>
      </c>
      <c r="E39" s="7" t="s">
        <v>370</v>
      </c>
      <c r="F39" s="6">
        <v>0.0497827</v>
      </c>
      <c r="G39" s="6">
        <v>0</v>
      </c>
      <c r="H39" s="6">
        <v>0</v>
      </c>
      <c r="I39" s="6">
        <v>0.036372994</v>
      </c>
      <c r="J39" s="6">
        <v>0</v>
      </c>
      <c r="K39" s="6">
        <v>0.147909491</v>
      </c>
      <c r="L39" s="6">
        <v>0</v>
      </c>
      <c r="M39" s="6">
        <v>0.005956108</v>
      </c>
      <c r="N39" s="6">
        <v>0</v>
      </c>
      <c r="O39" s="6">
        <v>0</v>
      </c>
      <c r="P39" s="6">
        <v>0.01090551</v>
      </c>
      <c r="Q39" s="6">
        <v>0.015699826</v>
      </c>
      <c r="R39" s="6">
        <v>0.066100476</v>
      </c>
      <c r="S39" s="6">
        <v>0</v>
      </c>
      <c r="T39" s="6">
        <v>0.019289815</v>
      </c>
      <c r="U39" s="6">
        <v>0.452136723</v>
      </c>
      <c r="V39" s="6">
        <v>0</v>
      </c>
      <c r="W39" s="6">
        <v>0.034266356</v>
      </c>
      <c r="X39" s="6">
        <v>0.16158</v>
      </c>
      <c r="Y39" s="6">
        <v>0</v>
      </c>
      <c r="Z39" s="6">
        <v>0</v>
      </c>
      <c r="AA39" s="6">
        <v>0</v>
      </c>
    </row>
    <row r="40" ht="15" hidden="1" spans="1:27">
      <c r="A40" s="6" t="s">
        <v>258</v>
      </c>
      <c r="B40" s="7" t="s">
        <v>344</v>
      </c>
      <c r="C40" s="7" t="s">
        <v>341</v>
      </c>
      <c r="D40" s="7" t="s">
        <v>18</v>
      </c>
      <c r="E40" s="7" t="s">
        <v>370</v>
      </c>
      <c r="F40" s="6">
        <v>0.100023903</v>
      </c>
      <c r="G40" s="6">
        <v>0</v>
      </c>
      <c r="H40" s="6">
        <v>0</v>
      </c>
      <c r="I40" s="6">
        <v>0</v>
      </c>
      <c r="J40" s="6">
        <v>0</v>
      </c>
      <c r="K40" s="6">
        <v>0.136473123</v>
      </c>
      <c r="L40" s="6">
        <v>0</v>
      </c>
      <c r="M40" s="6">
        <v>0</v>
      </c>
      <c r="N40" s="6">
        <v>0.024684735</v>
      </c>
      <c r="O40" s="6">
        <v>0</v>
      </c>
      <c r="P40" s="6">
        <v>0</v>
      </c>
      <c r="Q40" s="6">
        <v>0.068849114</v>
      </c>
      <c r="R40" s="6">
        <v>0.032452626</v>
      </c>
      <c r="S40" s="6">
        <v>0</v>
      </c>
      <c r="T40" s="6">
        <v>0.033090964</v>
      </c>
      <c r="U40" s="6">
        <v>0.387089521</v>
      </c>
      <c r="V40" s="6">
        <v>0</v>
      </c>
      <c r="W40" s="6">
        <v>0.024464041</v>
      </c>
      <c r="X40" s="6">
        <v>0.192871973</v>
      </c>
      <c r="Y40" s="6">
        <v>0</v>
      </c>
      <c r="Z40" s="6">
        <v>0</v>
      </c>
      <c r="AA40" s="6">
        <v>0</v>
      </c>
    </row>
    <row r="41" ht="15" hidden="1" spans="1:27">
      <c r="A41" s="6" t="s">
        <v>254</v>
      </c>
      <c r="B41" s="7" t="s">
        <v>344</v>
      </c>
      <c r="C41" s="7" t="s">
        <v>341</v>
      </c>
      <c r="D41" s="7" t="s">
        <v>24</v>
      </c>
      <c r="E41" s="7" t="s">
        <v>370</v>
      </c>
      <c r="F41" s="6">
        <v>0.020767711</v>
      </c>
      <c r="G41" s="6">
        <v>0</v>
      </c>
      <c r="H41" s="6">
        <v>0.011664121</v>
      </c>
      <c r="I41" s="6">
        <v>0.036909671</v>
      </c>
      <c r="J41" s="6">
        <v>0.017653484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0.041942637</v>
      </c>
      <c r="Q41" s="6">
        <v>0.004294591</v>
      </c>
      <c r="R41" s="6">
        <v>0.005202735</v>
      </c>
      <c r="S41" s="6">
        <v>0.276675571</v>
      </c>
      <c r="T41" s="6">
        <v>0</v>
      </c>
      <c r="U41" s="6">
        <v>0.5496396</v>
      </c>
      <c r="V41" s="6">
        <v>0</v>
      </c>
      <c r="W41" s="6">
        <v>0</v>
      </c>
      <c r="X41" s="6">
        <v>0.035249878</v>
      </c>
      <c r="Y41" s="6">
        <v>0</v>
      </c>
      <c r="Z41" s="6">
        <v>0</v>
      </c>
      <c r="AA41" s="6">
        <v>0</v>
      </c>
    </row>
    <row r="42" ht="15" hidden="1" spans="1:27">
      <c r="A42" s="6" t="s">
        <v>205</v>
      </c>
      <c r="B42" s="7" t="s">
        <v>29</v>
      </c>
      <c r="C42" s="7" t="s">
        <v>341</v>
      </c>
      <c r="D42" s="7" t="s">
        <v>51</v>
      </c>
      <c r="E42" s="7" t="s">
        <v>370</v>
      </c>
      <c r="F42" s="6">
        <v>0.040181856</v>
      </c>
      <c r="G42" s="6">
        <v>0</v>
      </c>
      <c r="H42" s="6">
        <v>0.003992782</v>
      </c>
      <c r="I42" s="6">
        <v>0.085939523</v>
      </c>
      <c r="J42" s="6">
        <v>0</v>
      </c>
      <c r="K42" s="6">
        <v>0.104235521</v>
      </c>
      <c r="L42" s="6">
        <v>0</v>
      </c>
      <c r="M42" s="6">
        <v>0</v>
      </c>
      <c r="N42" s="6">
        <v>0.014623988</v>
      </c>
      <c r="O42" s="6">
        <v>0</v>
      </c>
      <c r="P42" s="6">
        <v>0</v>
      </c>
      <c r="Q42" s="6">
        <v>0.039996465</v>
      </c>
      <c r="R42" s="6">
        <v>0.020630526</v>
      </c>
      <c r="S42" s="6">
        <v>0</v>
      </c>
      <c r="T42" s="6">
        <v>0.067297377</v>
      </c>
      <c r="U42" s="6">
        <v>0.508937032</v>
      </c>
      <c r="V42" s="6">
        <v>0.004061443</v>
      </c>
      <c r="W42" s="6">
        <v>0</v>
      </c>
      <c r="X42" s="6">
        <v>0.101223221</v>
      </c>
      <c r="Y42" s="6">
        <v>0</v>
      </c>
      <c r="Z42" s="6">
        <v>0.005291839</v>
      </c>
      <c r="AA42" s="6">
        <v>0.003588428</v>
      </c>
    </row>
    <row r="43" ht="15" hidden="1" spans="1:27">
      <c r="A43" s="6" t="s">
        <v>155</v>
      </c>
      <c r="B43" s="7" t="s">
        <v>29</v>
      </c>
      <c r="C43" s="7" t="s">
        <v>341</v>
      </c>
      <c r="D43" s="7" t="s">
        <v>55</v>
      </c>
      <c r="E43" s="7" t="s">
        <v>370</v>
      </c>
      <c r="F43" s="6">
        <v>0.006275654</v>
      </c>
      <c r="G43" s="6">
        <v>0</v>
      </c>
      <c r="H43" s="6">
        <v>0.017113906</v>
      </c>
      <c r="I43" s="6">
        <v>0.138620123</v>
      </c>
      <c r="J43" s="6">
        <v>0</v>
      </c>
      <c r="K43" s="6">
        <v>0</v>
      </c>
      <c r="L43" s="6">
        <v>0.009382778</v>
      </c>
      <c r="M43" s="6">
        <v>0</v>
      </c>
      <c r="N43" s="6">
        <v>0.012627156</v>
      </c>
      <c r="O43" s="6">
        <v>0</v>
      </c>
      <c r="P43" s="6">
        <v>0</v>
      </c>
      <c r="Q43" s="6">
        <v>0.011175071</v>
      </c>
      <c r="R43" s="6">
        <v>0.051221319</v>
      </c>
      <c r="S43" s="6">
        <v>0</v>
      </c>
      <c r="T43" s="6">
        <v>0.015709652</v>
      </c>
      <c r="U43" s="6">
        <v>0.65144716</v>
      </c>
      <c r="V43" s="6">
        <v>0</v>
      </c>
      <c r="W43" s="6">
        <v>0.003898061</v>
      </c>
      <c r="X43" s="6">
        <v>0.078980088</v>
      </c>
      <c r="Y43" s="6">
        <v>0</v>
      </c>
      <c r="Z43" s="6">
        <v>0</v>
      </c>
      <c r="AA43" s="6">
        <v>0.003549033</v>
      </c>
    </row>
    <row r="44" ht="15" hidden="1" spans="1:27">
      <c r="A44" s="6" t="s">
        <v>266</v>
      </c>
      <c r="B44" s="7" t="s">
        <v>29</v>
      </c>
      <c r="C44" s="7" t="s">
        <v>341</v>
      </c>
      <c r="D44" s="7" t="s">
        <v>55</v>
      </c>
      <c r="E44" s="7" t="s">
        <v>370</v>
      </c>
      <c r="F44" s="6">
        <v>0.13544026</v>
      </c>
      <c r="G44" s="6">
        <v>0</v>
      </c>
      <c r="H44" s="6">
        <v>0</v>
      </c>
      <c r="I44" s="6">
        <v>0.04012639</v>
      </c>
      <c r="J44" s="6">
        <v>0</v>
      </c>
      <c r="K44" s="6">
        <v>0.126874106</v>
      </c>
      <c r="L44" s="6">
        <v>0</v>
      </c>
      <c r="M44" s="6">
        <v>0.0008</v>
      </c>
      <c r="N44" s="6">
        <v>0</v>
      </c>
      <c r="O44" s="6">
        <v>0</v>
      </c>
      <c r="P44" s="6">
        <v>0</v>
      </c>
      <c r="Q44" s="6">
        <v>0.051508782</v>
      </c>
      <c r="R44" s="6">
        <v>0.062326334</v>
      </c>
      <c r="S44" s="6">
        <v>0</v>
      </c>
      <c r="T44" s="6">
        <v>0.018996909</v>
      </c>
      <c r="U44" s="6">
        <v>0.462544525</v>
      </c>
      <c r="V44" s="6">
        <v>0</v>
      </c>
      <c r="W44" s="6">
        <v>0.045751753</v>
      </c>
      <c r="X44" s="6">
        <v>0.05520614</v>
      </c>
      <c r="Y44" s="6">
        <v>0</v>
      </c>
      <c r="Z44" s="6">
        <v>0</v>
      </c>
      <c r="AA44" s="6">
        <v>0.0004</v>
      </c>
    </row>
    <row r="45" ht="15" hidden="1" spans="1:27">
      <c r="A45" s="6" t="s">
        <v>199</v>
      </c>
      <c r="B45" s="7" t="s">
        <v>29</v>
      </c>
      <c r="C45" s="7" t="s">
        <v>341</v>
      </c>
      <c r="D45" s="7" t="s">
        <v>55</v>
      </c>
      <c r="E45" s="7" t="s">
        <v>370</v>
      </c>
      <c r="F45" s="6">
        <v>0.086440822</v>
      </c>
      <c r="G45" s="6">
        <v>0</v>
      </c>
      <c r="H45" s="6">
        <v>0</v>
      </c>
      <c r="I45" s="6">
        <v>0.026009857</v>
      </c>
      <c r="J45" s="6">
        <v>0</v>
      </c>
      <c r="K45" s="6">
        <v>0.085387715</v>
      </c>
      <c r="L45" s="6">
        <v>0</v>
      </c>
      <c r="M45" s="6">
        <v>0.002741763</v>
      </c>
      <c r="N45" s="6">
        <v>0.027880533</v>
      </c>
      <c r="O45" s="6">
        <v>0</v>
      </c>
      <c r="P45" s="6">
        <v>0</v>
      </c>
      <c r="Q45" s="6">
        <v>0.055898478</v>
      </c>
      <c r="R45" s="6">
        <v>0.089654533</v>
      </c>
      <c r="S45" s="6">
        <v>0</v>
      </c>
      <c r="T45" s="6">
        <v>0.002325559</v>
      </c>
      <c r="U45" s="6">
        <v>0.518702753</v>
      </c>
      <c r="V45" s="6">
        <v>0</v>
      </c>
      <c r="W45" s="6">
        <v>0</v>
      </c>
      <c r="X45" s="6">
        <v>0.104278128</v>
      </c>
      <c r="Y45" s="6">
        <v>0</v>
      </c>
      <c r="Z45" s="6">
        <v>0</v>
      </c>
      <c r="AA45" s="6">
        <v>0.0007</v>
      </c>
    </row>
    <row r="46" ht="15" hidden="1" spans="1:27">
      <c r="A46" s="6" t="s">
        <v>145</v>
      </c>
      <c r="B46" s="7" t="s">
        <v>344</v>
      </c>
      <c r="C46" s="7" t="s">
        <v>344</v>
      </c>
      <c r="D46" s="7" t="s">
        <v>55</v>
      </c>
      <c r="E46" s="7" t="s">
        <v>370</v>
      </c>
      <c r="F46" s="6">
        <v>0.017573129</v>
      </c>
      <c r="G46" s="6">
        <v>0</v>
      </c>
      <c r="H46" s="6">
        <v>0</v>
      </c>
      <c r="I46" s="6">
        <v>0.029343215</v>
      </c>
      <c r="J46" s="6">
        <v>0</v>
      </c>
      <c r="K46" s="6">
        <v>0.135222081</v>
      </c>
      <c r="L46" s="6">
        <v>0.002976249</v>
      </c>
      <c r="M46" s="6">
        <v>0.025548473</v>
      </c>
      <c r="N46" s="6">
        <v>0.019611623</v>
      </c>
      <c r="O46" s="6">
        <v>0</v>
      </c>
      <c r="P46" s="6">
        <v>0.0023553</v>
      </c>
      <c r="Q46" s="6">
        <v>0.013752625</v>
      </c>
      <c r="R46" s="6">
        <v>0.00826288</v>
      </c>
      <c r="S46" s="6">
        <v>0</v>
      </c>
      <c r="T46" s="6">
        <v>0.024751411</v>
      </c>
      <c r="U46" s="6">
        <v>0.567458581</v>
      </c>
      <c r="V46" s="6">
        <v>0</v>
      </c>
      <c r="W46" s="6">
        <v>0.093347275</v>
      </c>
      <c r="X46" s="6">
        <v>0.058886923</v>
      </c>
      <c r="Y46" s="6">
        <v>0</v>
      </c>
      <c r="Z46" s="6">
        <v>0</v>
      </c>
      <c r="AA46" s="6">
        <v>0.0009</v>
      </c>
    </row>
    <row r="47" ht="15" hidden="1" spans="1:27">
      <c r="A47" s="6" t="s">
        <v>192</v>
      </c>
      <c r="B47" s="7" t="s">
        <v>29</v>
      </c>
      <c r="C47" s="7" t="s">
        <v>341</v>
      </c>
      <c r="D47" s="7" t="s">
        <v>89</v>
      </c>
      <c r="E47" s="7" t="s">
        <v>370</v>
      </c>
      <c r="F47" s="6">
        <v>0.004645065</v>
      </c>
      <c r="G47" s="6">
        <v>0</v>
      </c>
      <c r="H47" s="6">
        <v>0.024683349</v>
      </c>
      <c r="I47" s="6">
        <v>0.043837221</v>
      </c>
      <c r="J47" s="6">
        <v>0</v>
      </c>
      <c r="K47" s="6">
        <v>0.047077697</v>
      </c>
      <c r="L47" s="6">
        <v>0</v>
      </c>
      <c r="M47" s="6">
        <v>0</v>
      </c>
      <c r="N47" s="6">
        <v>0.006206603</v>
      </c>
      <c r="O47" s="6">
        <v>0</v>
      </c>
      <c r="P47" s="6">
        <v>0.0291266</v>
      </c>
      <c r="Q47" s="6">
        <v>0.01569461</v>
      </c>
      <c r="R47" s="6">
        <v>0.062924009</v>
      </c>
      <c r="S47" s="6">
        <v>0</v>
      </c>
      <c r="T47" s="6">
        <v>0.025629343</v>
      </c>
      <c r="U47" s="6">
        <v>0.641025388</v>
      </c>
      <c r="V47" s="6">
        <v>0</v>
      </c>
      <c r="W47" s="6">
        <v>0</v>
      </c>
      <c r="X47" s="6">
        <v>0.098063128</v>
      </c>
      <c r="Y47" s="6">
        <v>0</v>
      </c>
      <c r="Z47" s="6">
        <v>0</v>
      </c>
      <c r="AA47" s="6">
        <v>0.001086989</v>
      </c>
    </row>
    <row r="48" ht="15" hidden="1" spans="1:27">
      <c r="A48" s="6" t="s">
        <v>300</v>
      </c>
      <c r="B48" s="7" t="s">
        <v>344</v>
      </c>
      <c r="C48" s="7" t="s">
        <v>344</v>
      </c>
      <c r="D48" s="7" t="s">
        <v>89</v>
      </c>
      <c r="E48" s="7" t="s">
        <v>370</v>
      </c>
      <c r="F48" s="6">
        <v>0.130308744</v>
      </c>
      <c r="G48" s="6">
        <v>0</v>
      </c>
      <c r="H48" s="6">
        <v>0.027217539</v>
      </c>
      <c r="I48" s="6">
        <v>0.012718466</v>
      </c>
      <c r="J48" s="6">
        <v>0</v>
      </c>
      <c r="K48" s="6">
        <v>0.082824291</v>
      </c>
      <c r="L48" s="6">
        <v>0</v>
      </c>
      <c r="M48" s="6">
        <v>0</v>
      </c>
      <c r="N48" s="6">
        <v>0.006819153</v>
      </c>
      <c r="O48" s="6">
        <v>0</v>
      </c>
      <c r="P48" s="6">
        <v>0</v>
      </c>
      <c r="Q48" s="6">
        <v>0.031302396</v>
      </c>
      <c r="R48" s="6">
        <v>0.0002</v>
      </c>
      <c r="S48" s="6">
        <v>0.05918834</v>
      </c>
      <c r="T48" s="6">
        <v>0.0349763</v>
      </c>
      <c r="U48" s="6">
        <v>0.562596838</v>
      </c>
      <c r="V48" s="6">
        <v>0</v>
      </c>
      <c r="W48" s="6">
        <v>0</v>
      </c>
      <c r="X48" s="6">
        <v>0.05187862</v>
      </c>
      <c r="Y48" s="6">
        <v>0</v>
      </c>
      <c r="Z48" s="6">
        <v>0</v>
      </c>
      <c r="AA48" s="6">
        <v>0</v>
      </c>
    </row>
    <row r="49" ht="15" hidden="1" spans="1:27">
      <c r="A49" s="6" t="s">
        <v>252</v>
      </c>
      <c r="B49" s="7" t="s">
        <v>344</v>
      </c>
      <c r="C49" s="7" t="s">
        <v>344</v>
      </c>
      <c r="D49" s="7" t="s">
        <v>51</v>
      </c>
      <c r="E49" s="7" t="s">
        <v>370</v>
      </c>
      <c r="F49" s="6">
        <v>0.125863375</v>
      </c>
      <c r="G49" s="6">
        <v>0</v>
      </c>
      <c r="H49" s="6">
        <v>0.002480569</v>
      </c>
      <c r="I49" s="6">
        <v>0</v>
      </c>
      <c r="J49" s="6">
        <v>0</v>
      </c>
      <c r="K49" s="6">
        <v>0.122354816</v>
      </c>
      <c r="L49" s="6">
        <v>0</v>
      </c>
      <c r="M49" s="6">
        <v>0.0006</v>
      </c>
      <c r="N49" s="6">
        <v>0.013476659</v>
      </c>
      <c r="O49" s="6">
        <v>0</v>
      </c>
      <c r="P49" s="6">
        <v>0.029549961</v>
      </c>
      <c r="Q49" s="6">
        <v>0.035803298</v>
      </c>
      <c r="R49" s="6">
        <v>0.056657828</v>
      </c>
      <c r="S49" s="6">
        <v>0.181539415</v>
      </c>
      <c r="T49" s="6">
        <v>0.005089974</v>
      </c>
      <c r="U49" s="6">
        <v>0.384116578</v>
      </c>
      <c r="V49" s="6">
        <v>0</v>
      </c>
      <c r="W49" s="6">
        <v>0.012834316</v>
      </c>
      <c r="X49" s="6">
        <v>0.029612354</v>
      </c>
      <c r="Y49" s="6">
        <v>0</v>
      </c>
      <c r="Z49" s="6">
        <v>0</v>
      </c>
      <c r="AA49" s="6">
        <v>0</v>
      </c>
    </row>
    <row r="50" ht="15" hidden="1" spans="1:27">
      <c r="A50" s="6" t="s">
        <v>101</v>
      </c>
      <c r="B50" s="7" t="s">
        <v>344</v>
      </c>
      <c r="C50" s="7" t="s">
        <v>344</v>
      </c>
      <c r="D50" s="7" t="s">
        <v>55</v>
      </c>
      <c r="E50" s="7" t="s">
        <v>370</v>
      </c>
      <c r="F50" s="6">
        <v>0.053182518</v>
      </c>
      <c r="G50" s="6">
        <v>0</v>
      </c>
      <c r="H50" s="6">
        <v>0</v>
      </c>
      <c r="I50" s="6">
        <v>0</v>
      </c>
      <c r="J50" s="6">
        <v>0</v>
      </c>
      <c r="K50" s="6">
        <v>0.094178843</v>
      </c>
      <c r="L50" s="6">
        <v>0</v>
      </c>
      <c r="M50" s="6">
        <v>0</v>
      </c>
      <c r="N50" s="6">
        <v>0</v>
      </c>
      <c r="O50" s="6">
        <v>0</v>
      </c>
      <c r="P50" s="6">
        <v>0.020451579</v>
      </c>
      <c r="Q50" s="6">
        <v>0.013933402</v>
      </c>
      <c r="R50" s="6">
        <v>0.136182314</v>
      </c>
      <c r="S50" s="6">
        <v>0</v>
      </c>
      <c r="T50" s="6">
        <v>0.019429755</v>
      </c>
      <c r="U50" s="6">
        <v>0.624301492</v>
      </c>
      <c r="V50" s="6">
        <v>0</v>
      </c>
      <c r="W50" s="6">
        <v>0</v>
      </c>
      <c r="X50" s="6">
        <v>0.038340097</v>
      </c>
      <c r="Y50" s="6">
        <v>0</v>
      </c>
      <c r="Z50" s="6">
        <v>0</v>
      </c>
      <c r="AA50" s="6">
        <v>0</v>
      </c>
    </row>
    <row r="51" ht="15" hidden="1" spans="1:27">
      <c r="A51" s="6" t="s">
        <v>177</v>
      </c>
      <c r="B51" s="7" t="s">
        <v>29</v>
      </c>
      <c r="C51" s="7" t="s">
        <v>341</v>
      </c>
      <c r="D51" s="7" t="s">
        <v>31</v>
      </c>
      <c r="E51" s="7" t="s">
        <v>370</v>
      </c>
      <c r="F51" s="6">
        <v>0.047152236</v>
      </c>
      <c r="G51" s="6">
        <v>0</v>
      </c>
      <c r="H51" s="6">
        <v>0</v>
      </c>
      <c r="I51" s="6">
        <v>0.020602865</v>
      </c>
      <c r="J51" s="6">
        <v>0</v>
      </c>
      <c r="K51" s="6">
        <v>0.210717038</v>
      </c>
      <c r="L51" s="6">
        <v>0</v>
      </c>
      <c r="M51" s="6">
        <v>0</v>
      </c>
      <c r="N51" s="6">
        <v>0.028004655</v>
      </c>
      <c r="O51" s="6">
        <v>0</v>
      </c>
      <c r="P51" s="6">
        <v>0.0001</v>
      </c>
      <c r="Q51" s="6">
        <v>0.043805295</v>
      </c>
      <c r="R51" s="6">
        <v>0.061230401</v>
      </c>
      <c r="S51" s="6">
        <v>0</v>
      </c>
      <c r="T51" s="6">
        <v>0.031497126</v>
      </c>
      <c r="U51" s="6">
        <v>0.477329099</v>
      </c>
      <c r="V51" s="6">
        <v>0</v>
      </c>
      <c r="W51" s="6">
        <v>0.003038864</v>
      </c>
      <c r="X51" s="6">
        <v>0.069225598</v>
      </c>
      <c r="Y51" s="6">
        <v>0</v>
      </c>
      <c r="Z51" s="6">
        <v>0</v>
      </c>
      <c r="AA51" s="6">
        <v>0.007283491</v>
      </c>
    </row>
    <row r="52" ht="15" hidden="1" spans="1:27">
      <c r="A52" s="6" t="s">
        <v>161</v>
      </c>
      <c r="B52" s="7" t="s">
        <v>29</v>
      </c>
      <c r="C52" s="7" t="s">
        <v>341</v>
      </c>
      <c r="D52" s="7" t="s">
        <v>31</v>
      </c>
      <c r="E52" s="7" t="s">
        <v>370</v>
      </c>
      <c r="F52" s="6">
        <v>0.031537914</v>
      </c>
      <c r="G52" s="6">
        <v>0</v>
      </c>
      <c r="H52" s="6">
        <v>0.018195403</v>
      </c>
      <c r="I52" s="6">
        <v>0.044315084</v>
      </c>
      <c r="J52" s="6">
        <v>0</v>
      </c>
      <c r="K52" s="6">
        <v>0.160473996</v>
      </c>
      <c r="L52" s="6">
        <v>0</v>
      </c>
      <c r="M52" s="6">
        <v>0</v>
      </c>
      <c r="N52" s="6">
        <v>0.007755522</v>
      </c>
      <c r="O52" s="6">
        <v>0</v>
      </c>
      <c r="P52" s="6">
        <v>0.0009</v>
      </c>
      <c r="Q52" s="6">
        <v>0.011911296</v>
      </c>
      <c r="R52" s="6">
        <v>0.139663627</v>
      </c>
      <c r="S52" s="6">
        <v>0</v>
      </c>
      <c r="T52" s="6">
        <v>0.046870364</v>
      </c>
      <c r="U52" s="6">
        <v>0.500742432</v>
      </c>
      <c r="V52" s="6">
        <v>0</v>
      </c>
      <c r="W52" s="6">
        <v>0</v>
      </c>
      <c r="X52" s="6">
        <v>0.037663776</v>
      </c>
      <c r="Y52" s="6">
        <v>0</v>
      </c>
      <c r="Z52" s="6">
        <v>0</v>
      </c>
      <c r="AA52" s="6">
        <v>0</v>
      </c>
    </row>
    <row r="53" ht="15" hidden="1" spans="1:27">
      <c r="A53" s="6" t="s">
        <v>102</v>
      </c>
      <c r="B53" s="7" t="s">
        <v>341</v>
      </c>
      <c r="C53" s="7" t="s">
        <v>341</v>
      </c>
      <c r="D53" s="7" t="s">
        <v>55</v>
      </c>
      <c r="E53" s="7" t="s">
        <v>370</v>
      </c>
      <c r="F53" s="6">
        <v>0.094492531</v>
      </c>
      <c r="G53" s="6">
        <v>0</v>
      </c>
      <c r="H53" s="6">
        <v>0</v>
      </c>
      <c r="I53" s="6">
        <v>0</v>
      </c>
      <c r="J53" s="6">
        <v>0</v>
      </c>
      <c r="K53" s="6">
        <v>0.246976398</v>
      </c>
      <c r="L53" s="6">
        <v>0</v>
      </c>
      <c r="M53" s="6">
        <v>0</v>
      </c>
      <c r="N53" s="6">
        <v>0.014461514</v>
      </c>
      <c r="O53" s="6">
        <v>0</v>
      </c>
      <c r="P53" s="6">
        <v>0</v>
      </c>
      <c r="Q53" s="6">
        <v>0.064146624</v>
      </c>
      <c r="R53" s="6">
        <v>0.127554398</v>
      </c>
      <c r="S53" s="6">
        <v>0</v>
      </c>
      <c r="T53" s="6">
        <v>0.003344481</v>
      </c>
      <c r="U53" s="6">
        <v>0.362979508</v>
      </c>
      <c r="V53" s="6">
        <v>0</v>
      </c>
      <c r="W53" s="6">
        <v>0</v>
      </c>
      <c r="X53" s="6">
        <v>0.086044546</v>
      </c>
      <c r="Y53" s="6">
        <v>0</v>
      </c>
      <c r="Z53" s="6">
        <v>0</v>
      </c>
      <c r="AA53" s="6">
        <v>0</v>
      </c>
    </row>
    <row r="54" ht="15" hidden="1" spans="1:27">
      <c r="A54" s="6" t="s">
        <v>106</v>
      </c>
      <c r="B54" s="7" t="s">
        <v>29</v>
      </c>
      <c r="C54" s="7" t="s">
        <v>341</v>
      </c>
      <c r="D54" s="7" t="s">
        <v>51</v>
      </c>
      <c r="E54" s="7" t="s">
        <v>370</v>
      </c>
      <c r="F54" s="6">
        <v>0.103297612</v>
      </c>
      <c r="G54" s="6">
        <v>0</v>
      </c>
      <c r="H54" s="6">
        <v>0.05977601</v>
      </c>
      <c r="I54" s="6">
        <v>0.029776622</v>
      </c>
      <c r="J54" s="6">
        <v>0</v>
      </c>
      <c r="K54" s="6">
        <v>0.023642586</v>
      </c>
      <c r="L54" s="6">
        <v>0.004988074</v>
      </c>
      <c r="M54" s="6">
        <v>0.002753324</v>
      </c>
      <c r="N54" s="6">
        <v>0.023063027</v>
      </c>
      <c r="O54" s="6">
        <v>0</v>
      </c>
      <c r="P54" s="6">
        <v>0.026435405</v>
      </c>
      <c r="Q54" s="6">
        <v>0</v>
      </c>
      <c r="R54" s="6">
        <v>0</v>
      </c>
      <c r="S54" s="6">
        <v>0.14842229</v>
      </c>
      <c r="T54" s="6">
        <v>0.012233575</v>
      </c>
      <c r="U54" s="6">
        <v>0.519835106</v>
      </c>
      <c r="V54" s="6">
        <v>0</v>
      </c>
      <c r="W54" s="6">
        <v>0</v>
      </c>
      <c r="X54" s="6">
        <v>0.045776369</v>
      </c>
      <c r="Y54" s="6">
        <v>0</v>
      </c>
      <c r="Z54" s="6">
        <v>0</v>
      </c>
      <c r="AA54" s="6">
        <v>0</v>
      </c>
    </row>
    <row r="55" ht="15" hidden="1" spans="1:27">
      <c r="A55" s="6" t="s">
        <v>294</v>
      </c>
      <c r="B55" s="7" t="s">
        <v>344</v>
      </c>
      <c r="C55" s="7" t="s">
        <v>341</v>
      </c>
      <c r="D55" s="7" t="s">
        <v>51</v>
      </c>
      <c r="E55" s="7" t="s">
        <v>370</v>
      </c>
      <c r="F55" s="6">
        <v>0.026311639</v>
      </c>
      <c r="G55" s="6">
        <v>0</v>
      </c>
      <c r="H55" s="6">
        <v>0</v>
      </c>
      <c r="I55" s="6">
        <v>0.20566487</v>
      </c>
      <c r="J55" s="6">
        <v>0</v>
      </c>
      <c r="K55" s="6">
        <v>0.077806879</v>
      </c>
      <c r="L55" s="6">
        <v>0</v>
      </c>
      <c r="M55" s="6">
        <v>0.025314674</v>
      </c>
      <c r="N55" s="6">
        <v>0.039036164</v>
      </c>
      <c r="O55" s="6">
        <v>0</v>
      </c>
      <c r="P55" s="6">
        <v>0.005696046</v>
      </c>
      <c r="Q55" s="6">
        <v>0.018178399</v>
      </c>
      <c r="R55" s="6">
        <v>0.068138448</v>
      </c>
      <c r="S55" s="6">
        <v>0</v>
      </c>
      <c r="T55" s="6">
        <v>0.093444094</v>
      </c>
      <c r="U55" s="6">
        <v>0.358606239</v>
      </c>
      <c r="V55" s="6">
        <v>0</v>
      </c>
      <c r="W55" s="6">
        <v>0.005616248</v>
      </c>
      <c r="X55" s="6">
        <v>0.076186301</v>
      </c>
      <c r="Y55" s="6">
        <v>0</v>
      </c>
      <c r="Z55" s="6">
        <v>0</v>
      </c>
      <c r="AA55" s="6">
        <v>0</v>
      </c>
    </row>
    <row r="56" ht="15" hidden="1" spans="1:27">
      <c r="A56" s="6" t="s">
        <v>146</v>
      </c>
      <c r="B56" s="7" t="s">
        <v>29</v>
      </c>
      <c r="C56" s="7" t="s">
        <v>341</v>
      </c>
      <c r="D56" s="7" t="s">
        <v>51</v>
      </c>
      <c r="E56" s="7" t="s">
        <v>370</v>
      </c>
      <c r="F56" s="6">
        <v>0.11155687</v>
      </c>
      <c r="G56" s="6">
        <v>0</v>
      </c>
      <c r="H56" s="6">
        <v>0.003393919</v>
      </c>
      <c r="I56" s="6">
        <v>0.053120553</v>
      </c>
      <c r="J56" s="6">
        <v>0</v>
      </c>
      <c r="K56" s="6">
        <v>0.160404799</v>
      </c>
      <c r="L56" s="6">
        <v>0</v>
      </c>
      <c r="M56" s="6">
        <v>0.003138924</v>
      </c>
      <c r="N56" s="6">
        <v>0.0004</v>
      </c>
      <c r="O56" s="6">
        <v>0</v>
      </c>
      <c r="P56" s="6">
        <v>0</v>
      </c>
      <c r="Q56" s="6">
        <v>0.050440821</v>
      </c>
      <c r="R56" s="6">
        <v>0.036108463</v>
      </c>
      <c r="S56" s="6">
        <v>0</v>
      </c>
      <c r="T56" s="6">
        <v>0.009602442</v>
      </c>
      <c r="U56" s="6">
        <v>0.429408305</v>
      </c>
      <c r="V56" s="6">
        <v>0</v>
      </c>
      <c r="W56" s="6">
        <v>0</v>
      </c>
      <c r="X56" s="6">
        <v>0.142430028</v>
      </c>
      <c r="Y56" s="6">
        <v>0</v>
      </c>
      <c r="Z56" s="6">
        <v>0</v>
      </c>
      <c r="AA56" s="6">
        <v>0</v>
      </c>
    </row>
    <row r="57" ht="15" hidden="1" spans="1:27">
      <c r="A57" s="6" t="s">
        <v>176</v>
      </c>
      <c r="B57" s="7" t="s">
        <v>29</v>
      </c>
      <c r="C57" s="7" t="s">
        <v>341</v>
      </c>
      <c r="D57" s="7" t="s">
        <v>89</v>
      </c>
      <c r="E57" s="7" t="s">
        <v>370</v>
      </c>
      <c r="F57" s="6">
        <v>0.008721351</v>
      </c>
      <c r="G57" s="6">
        <v>0</v>
      </c>
      <c r="H57" s="6">
        <v>0.022078845</v>
      </c>
      <c r="I57" s="6">
        <v>0.031696851</v>
      </c>
      <c r="J57" s="6">
        <v>0</v>
      </c>
      <c r="K57" s="6">
        <v>0.087289099</v>
      </c>
      <c r="L57" s="6">
        <v>0</v>
      </c>
      <c r="M57" s="6">
        <v>0</v>
      </c>
      <c r="N57" s="6">
        <v>0</v>
      </c>
      <c r="O57" s="6">
        <v>0</v>
      </c>
      <c r="P57" s="6">
        <v>0.001674006</v>
      </c>
      <c r="Q57" s="6">
        <v>0.005846355</v>
      </c>
      <c r="R57" s="6">
        <v>0.030549415</v>
      </c>
      <c r="S57" s="6">
        <v>0.028846339</v>
      </c>
      <c r="T57" s="6">
        <v>0.003551596</v>
      </c>
      <c r="U57" s="6">
        <v>0.746621216</v>
      </c>
      <c r="V57" s="6">
        <v>0</v>
      </c>
      <c r="W57" s="6">
        <v>0.021628814</v>
      </c>
      <c r="X57" s="6">
        <v>0.009533323</v>
      </c>
      <c r="Y57" s="6">
        <v>0.001938414</v>
      </c>
      <c r="Z57" s="6">
        <v>0</v>
      </c>
      <c r="AA57" s="6">
        <v>0</v>
      </c>
    </row>
    <row r="58" ht="15" hidden="1" spans="1:27">
      <c r="A58" s="6" t="s">
        <v>147</v>
      </c>
      <c r="B58" s="7" t="s">
        <v>29</v>
      </c>
      <c r="C58" s="7" t="s">
        <v>341</v>
      </c>
      <c r="D58" s="7" t="s">
        <v>51</v>
      </c>
      <c r="E58" s="7" t="s">
        <v>370</v>
      </c>
      <c r="F58" s="6">
        <v>0.059945263</v>
      </c>
      <c r="G58" s="6">
        <v>0</v>
      </c>
      <c r="H58" s="6">
        <v>0.011419637</v>
      </c>
      <c r="I58" s="6">
        <v>0.128061695</v>
      </c>
      <c r="J58" s="6">
        <v>0</v>
      </c>
      <c r="K58" s="6">
        <v>0.093564174</v>
      </c>
      <c r="L58" s="6">
        <v>0</v>
      </c>
      <c r="M58" s="6">
        <v>0.045532458</v>
      </c>
      <c r="N58" s="6">
        <v>0.056940641</v>
      </c>
      <c r="O58" s="6">
        <v>0</v>
      </c>
      <c r="P58" s="6">
        <v>0.018787059</v>
      </c>
      <c r="Q58" s="6">
        <v>0</v>
      </c>
      <c r="R58" s="6">
        <v>0.030102625</v>
      </c>
      <c r="S58" s="6">
        <v>0.0153794</v>
      </c>
      <c r="T58" s="6">
        <v>0.085330202</v>
      </c>
      <c r="U58" s="6">
        <v>0.444521494</v>
      </c>
      <c r="V58" s="6">
        <v>0</v>
      </c>
      <c r="W58" s="6">
        <v>0</v>
      </c>
      <c r="X58" s="6">
        <v>0.010415353</v>
      </c>
      <c r="Y58" s="6">
        <v>0</v>
      </c>
      <c r="Z58" s="6">
        <v>0</v>
      </c>
      <c r="AA58" s="6">
        <v>0</v>
      </c>
    </row>
    <row r="59" ht="15" hidden="1" spans="1:27">
      <c r="A59" s="6" t="s">
        <v>284</v>
      </c>
      <c r="B59" s="7" t="s">
        <v>344</v>
      </c>
      <c r="C59" s="7" t="s">
        <v>344</v>
      </c>
      <c r="D59" s="7" t="s">
        <v>31</v>
      </c>
      <c r="E59" s="7" t="s">
        <v>370</v>
      </c>
      <c r="F59" s="6">
        <v>0.106039264</v>
      </c>
      <c r="G59" s="6">
        <v>0</v>
      </c>
      <c r="H59" s="6">
        <v>0</v>
      </c>
      <c r="I59" s="6">
        <v>0</v>
      </c>
      <c r="J59" s="6">
        <v>0</v>
      </c>
      <c r="K59" s="6">
        <v>0.22307034</v>
      </c>
      <c r="L59" s="6">
        <v>0</v>
      </c>
      <c r="M59" s="6">
        <v>0</v>
      </c>
      <c r="N59" s="6">
        <v>0.0002</v>
      </c>
      <c r="O59" s="6">
        <v>0</v>
      </c>
      <c r="P59" s="6">
        <v>0</v>
      </c>
      <c r="Q59" s="6">
        <v>0.069384531</v>
      </c>
      <c r="R59" s="6">
        <v>0.04700278</v>
      </c>
      <c r="S59" s="6">
        <v>0.005171757</v>
      </c>
      <c r="T59" s="6">
        <v>0.068549243</v>
      </c>
      <c r="U59" s="6">
        <v>0.469462986</v>
      </c>
      <c r="V59" s="6">
        <v>0</v>
      </c>
      <c r="W59" s="6">
        <v>0.001294528</v>
      </c>
      <c r="X59" s="6">
        <v>0.009781021</v>
      </c>
      <c r="Y59" s="6">
        <v>0</v>
      </c>
      <c r="Z59" s="6">
        <v>0</v>
      </c>
      <c r="AA59" s="6">
        <v>0</v>
      </c>
    </row>
    <row r="60" ht="15" hidden="1" spans="1:27">
      <c r="A60" s="6" t="s">
        <v>239</v>
      </c>
      <c r="B60" s="7" t="s">
        <v>341</v>
      </c>
      <c r="C60" s="7" t="s">
        <v>341</v>
      </c>
      <c r="D60" s="7" t="s">
        <v>31</v>
      </c>
      <c r="E60" s="7" t="s">
        <v>370</v>
      </c>
      <c r="F60" s="6">
        <v>0.051229798</v>
      </c>
      <c r="G60" s="6">
        <v>0</v>
      </c>
      <c r="H60" s="6">
        <v>0.142464376</v>
      </c>
      <c r="I60" s="6">
        <v>0.102818237</v>
      </c>
      <c r="J60" s="6">
        <v>0</v>
      </c>
      <c r="K60" s="6">
        <v>0.120387366</v>
      </c>
      <c r="L60" s="6">
        <v>0</v>
      </c>
      <c r="M60" s="6">
        <v>0.0008</v>
      </c>
      <c r="N60" s="6">
        <v>0.021201983</v>
      </c>
      <c r="O60" s="6">
        <v>0</v>
      </c>
      <c r="P60" s="6">
        <v>0</v>
      </c>
      <c r="Q60" s="6">
        <v>0.041673619</v>
      </c>
      <c r="R60" s="6">
        <v>0.104818669</v>
      </c>
      <c r="S60" s="6">
        <v>0</v>
      </c>
      <c r="T60" s="6">
        <v>0.013655634</v>
      </c>
      <c r="U60" s="6">
        <v>0.358769254</v>
      </c>
      <c r="V60" s="6">
        <v>0</v>
      </c>
      <c r="W60" s="6">
        <v>0.001345575</v>
      </c>
      <c r="X60" s="6">
        <v>0.040856965</v>
      </c>
      <c r="Y60" s="6">
        <v>0</v>
      </c>
      <c r="Z60" s="6">
        <v>0</v>
      </c>
      <c r="AA60" s="6">
        <v>0</v>
      </c>
    </row>
    <row r="61" ht="15" spans="1:27">
      <c r="A61" s="6" t="s">
        <v>263</v>
      </c>
      <c r="B61" s="7" t="s">
        <v>29</v>
      </c>
      <c r="C61" s="7" t="s">
        <v>29</v>
      </c>
      <c r="D61" s="7" t="s">
        <v>31</v>
      </c>
      <c r="E61" s="7" t="s">
        <v>370</v>
      </c>
      <c r="F61" s="6">
        <v>0.032070885</v>
      </c>
      <c r="G61" s="6">
        <v>0</v>
      </c>
      <c r="H61" s="6">
        <v>0</v>
      </c>
      <c r="I61" s="6">
        <v>0.021778341</v>
      </c>
      <c r="J61" s="6">
        <v>0</v>
      </c>
      <c r="K61" s="6">
        <v>0.307198509</v>
      </c>
      <c r="L61" s="6">
        <v>0</v>
      </c>
      <c r="M61" s="6">
        <v>0.026396028</v>
      </c>
      <c r="N61" s="6">
        <v>0.0006</v>
      </c>
      <c r="O61" s="6">
        <v>0</v>
      </c>
      <c r="P61" s="6">
        <v>0.011106886</v>
      </c>
      <c r="Q61" s="6">
        <v>0.001343032</v>
      </c>
      <c r="R61" s="6">
        <v>0.023322581</v>
      </c>
      <c r="S61" s="6">
        <v>0</v>
      </c>
      <c r="T61" s="6">
        <v>0.127141829</v>
      </c>
      <c r="U61" s="6">
        <v>0.416015832</v>
      </c>
      <c r="V61" s="6">
        <v>0</v>
      </c>
      <c r="W61" s="6">
        <v>0</v>
      </c>
      <c r="X61" s="6">
        <v>0.032987584</v>
      </c>
      <c r="Y61" s="6">
        <v>0</v>
      </c>
      <c r="Z61" s="6">
        <v>0</v>
      </c>
      <c r="AA61" s="6">
        <v>0</v>
      </c>
    </row>
    <row r="62" ht="15" hidden="1" spans="1:27">
      <c r="A62" s="6" t="s">
        <v>68</v>
      </c>
      <c r="B62" s="7" t="s">
        <v>344</v>
      </c>
      <c r="C62" s="7" t="s">
        <v>341</v>
      </c>
      <c r="D62" s="7" t="s">
        <v>18</v>
      </c>
      <c r="E62" s="7" t="s">
        <v>370</v>
      </c>
      <c r="F62" s="6">
        <v>0.068558659</v>
      </c>
      <c r="G62" s="6">
        <v>0</v>
      </c>
      <c r="H62" s="6">
        <v>0.033580924</v>
      </c>
      <c r="I62" s="6">
        <v>0.116534793</v>
      </c>
      <c r="J62" s="6">
        <v>0</v>
      </c>
      <c r="K62" s="6">
        <v>0.08082701</v>
      </c>
      <c r="L62" s="6">
        <v>0</v>
      </c>
      <c r="M62" s="6">
        <v>0.030780716</v>
      </c>
      <c r="N62" s="6">
        <v>0.070580929</v>
      </c>
      <c r="O62" s="6">
        <v>0</v>
      </c>
      <c r="P62" s="6">
        <v>0</v>
      </c>
      <c r="Q62" s="6">
        <v>0.08768378</v>
      </c>
      <c r="R62" s="6">
        <v>0.033793629</v>
      </c>
      <c r="S62" s="6">
        <v>0.002820872</v>
      </c>
      <c r="T62" s="6">
        <v>0.012644889</v>
      </c>
      <c r="U62" s="6">
        <v>0.364872345</v>
      </c>
      <c r="V62" s="6">
        <v>0</v>
      </c>
      <c r="W62" s="6">
        <v>0</v>
      </c>
      <c r="X62" s="6">
        <v>0.097321453</v>
      </c>
      <c r="Y62" s="6">
        <v>0</v>
      </c>
      <c r="Z62" s="6">
        <v>0</v>
      </c>
      <c r="AA62" s="6">
        <v>0</v>
      </c>
    </row>
    <row r="63" ht="15" hidden="1" spans="1:27">
      <c r="A63" s="6" t="s">
        <v>210</v>
      </c>
      <c r="B63" s="7" t="s">
        <v>29</v>
      </c>
      <c r="C63" s="7" t="s">
        <v>341</v>
      </c>
      <c r="D63" s="7" t="s">
        <v>123</v>
      </c>
      <c r="E63" s="7" t="s">
        <v>370</v>
      </c>
      <c r="F63" s="6">
        <v>0.121717861</v>
      </c>
      <c r="G63" s="6">
        <v>0</v>
      </c>
      <c r="H63" s="6">
        <v>0</v>
      </c>
      <c r="I63" s="6">
        <v>0.034642597</v>
      </c>
      <c r="J63" s="6">
        <v>0</v>
      </c>
      <c r="K63" s="6">
        <v>0.14264714</v>
      </c>
      <c r="L63" s="6">
        <v>0</v>
      </c>
      <c r="M63" s="6">
        <v>0</v>
      </c>
      <c r="N63" s="6">
        <v>0.013875577</v>
      </c>
      <c r="O63" s="6">
        <v>0</v>
      </c>
      <c r="P63" s="6">
        <v>0</v>
      </c>
      <c r="Q63" s="6">
        <v>0.016660624</v>
      </c>
      <c r="R63" s="6">
        <v>0.024405863</v>
      </c>
      <c r="S63" s="6">
        <v>0.13041436</v>
      </c>
      <c r="T63" s="6">
        <v>0</v>
      </c>
      <c r="U63" s="6">
        <v>0.489630566</v>
      </c>
      <c r="V63" s="6">
        <v>0</v>
      </c>
      <c r="W63" s="6">
        <v>0</v>
      </c>
      <c r="X63" s="6">
        <v>0.026005413</v>
      </c>
      <c r="Y63" s="6">
        <v>0</v>
      </c>
      <c r="Z63" s="6">
        <v>0</v>
      </c>
      <c r="AA63" s="6">
        <v>0</v>
      </c>
    </row>
    <row r="64" ht="15" hidden="1" spans="1:27">
      <c r="A64" s="6" t="s">
        <v>220</v>
      </c>
      <c r="B64" s="7" t="s">
        <v>341</v>
      </c>
      <c r="C64" s="7" t="s">
        <v>341</v>
      </c>
      <c r="D64" s="7" t="s">
        <v>131</v>
      </c>
      <c r="E64" s="7" t="s">
        <v>370</v>
      </c>
      <c r="F64" s="6">
        <v>0.132325294</v>
      </c>
      <c r="G64" s="6">
        <v>0</v>
      </c>
      <c r="H64" s="6">
        <v>0</v>
      </c>
      <c r="I64" s="6">
        <v>0.149572341</v>
      </c>
      <c r="J64" s="6">
        <v>0</v>
      </c>
      <c r="K64" s="6">
        <v>0.109707455</v>
      </c>
      <c r="L64" s="6">
        <v>0</v>
      </c>
      <c r="M64" s="6">
        <v>0.038181707</v>
      </c>
      <c r="N64" s="6">
        <v>0.01966579</v>
      </c>
      <c r="O64" s="6">
        <v>0</v>
      </c>
      <c r="P64" s="6">
        <v>0.027644091</v>
      </c>
      <c r="Q64" s="6">
        <v>0.009027294</v>
      </c>
      <c r="R64" s="6">
        <v>0.081937646</v>
      </c>
      <c r="S64" s="6">
        <v>0</v>
      </c>
      <c r="T64" s="6">
        <v>0.035727542</v>
      </c>
      <c r="U64" s="6">
        <v>0.390115661</v>
      </c>
      <c r="V64" s="6">
        <v>0</v>
      </c>
      <c r="W64" s="6">
        <v>0.006095179</v>
      </c>
      <c r="X64" s="6">
        <v>0</v>
      </c>
      <c r="Y64" s="6">
        <v>0</v>
      </c>
      <c r="Z64" s="6">
        <v>0</v>
      </c>
      <c r="AA64" s="6">
        <v>0</v>
      </c>
    </row>
    <row r="65" ht="15" hidden="1" spans="1:27">
      <c r="A65" s="6" t="s">
        <v>217</v>
      </c>
      <c r="B65" s="7" t="s">
        <v>341</v>
      </c>
      <c r="C65" s="7" t="s">
        <v>341</v>
      </c>
      <c r="D65" s="7" t="s">
        <v>18</v>
      </c>
      <c r="E65" s="7" t="s">
        <v>370</v>
      </c>
      <c r="F65" s="6">
        <v>0.034473765</v>
      </c>
      <c r="G65" s="6">
        <v>0</v>
      </c>
      <c r="H65" s="6">
        <v>0.005221436</v>
      </c>
      <c r="I65" s="6">
        <v>0.008811254</v>
      </c>
      <c r="J65" s="6">
        <v>0</v>
      </c>
      <c r="K65" s="6">
        <v>0.252233042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0.021496201</v>
      </c>
      <c r="R65" s="6">
        <v>0.058132403</v>
      </c>
      <c r="S65" s="6">
        <v>0</v>
      </c>
      <c r="T65" s="6">
        <v>0.045201439</v>
      </c>
      <c r="U65" s="6">
        <v>0.390651233</v>
      </c>
      <c r="V65" s="6">
        <v>0</v>
      </c>
      <c r="W65" s="6">
        <v>0</v>
      </c>
      <c r="X65" s="6">
        <v>0.183779225</v>
      </c>
      <c r="Y65" s="6">
        <v>0</v>
      </c>
      <c r="Z65" s="6">
        <v>0</v>
      </c>
      <c r="AA65" s="6">
        <v>0</v>
      </c>
    </row>
    <row r="66" ht="15" hidden="1" spans="1:27">
      <c r="A66" s="6" t="s">
        <v>173</v>
      </c>
      <c r="B66" s="7" t="s">
        <v>29</v>
      </c>
      <c r="C66" s="7" t="s">
        <v>341</v>
      </c>
      <c r="D66" s="7" t="s">
        <v>18</v>
      </c>
      <c r="E66" s="7" t="s">
        <v>370</v>
      </c>
      <c r="F66" s="6">
        <v>0.076593811</v>
      </c>
      <c r="G66" s="6">
        <v>0</v>
      </c>
      <c r="H66" s="6">
        <v>0.013700218</v>
      </c>
      <c r="I66" s="6">
        <v>0.036417145</v>
      </c>
      <c r="J66" s="6">
        <v>0</v>
      </c>
      <c r="K66" s="6">
        <v>0.228883942</v>
      </c>
      <c r="L66" s="6">
        <v>0</v>
      </c>
      <c r="M66" s="6">
        <v>0.016326811</v>
      </c>
      <c r="N66" s="6">
        <v>0</v>
      </c>
      <c r="O66" s="6">
        <v>0</v>
      </c>
      <c r="P66" s="6">
        <v>0</v>
      </c>
      <c r="Q66" s="6">
        <v>0.018911419</v>
      </c>
      <c r="R66" s="6">
        <v>0.081275305</v>
      </c>
      <c r="S66" s="6">
        <v>0</v>
      </c>
      <c r="T66" s="6">
        <v>0.012827435</v>
      </c>
      <c r="U66" s="6">
        <v>0.454210031</v>
      </c>
      <c r="V66" s="6">
        <v>0</v>
      </c>
      <c r="W66" s="6">
        <v>0.01431513</v>
      </c>
      <c r="X66" s="6">
        <v>0.045857085</v>
      </c>
      <c r="Y66" s="6">
        <v>0</v>
      </c>
      <c r="Z66" s="6">
        <v>0.0007</v>
      </c>
      <c r="AA66" s="6">
        <v>0</v>
      </c>
    </row>
    <row r="67" ht="15" hidden="1" spans="1:27">
      <c r="A67" s="6" t="s">
        <v>282</v>
      </c>
      <c r="B67" s="7" t="s">
        <v>29</v>
      </c>
      <c r="C67" s="7" t="s">
        <v>341</v>
      </c>
      <c r="D67" s="7" t="s">
        <v>18</v>
      </c>
      <c r="E67" s="7" t="s">
        <v>370</v>
      </c>
      <c r="F67" s="6">
        <v>0.016082312</v>
      </c>
      <c r="G67" s="6">
        <v>0</v>
      </c>
      <c r="H67" s="6">
        <v>0</v>
      </c>
      <c r="I67" s="6">
        <v>0</v>
      </c>
      <c r="J67" s="6">
        <v>0</v>
      </c>
      <c r="K67" s="6">
        <v>0.244667066</v>
      </c>
      <c r="L67" s="6">
        <v>0</v>
      </c>
      <c r="M67" s="6">
        <v>0.001555445</v>
      </c>
      <c r="N67" s="6">
        <v>0.011430188</v>
      </c>
      <c r="O67" s="6">
        <v>0</v>
      </c>
      <c r="P67" s="6">
        <v>0</v>
      </c>
      <c r="Q67" s="6">
        <v>0.061760379</v>
      </c>
      <c r="R67" s="6">
        <v>0.020282895</v>
      </c>
      <c r="S67" s="6">
        <v>0.153607673</v>
      </c>
      <c r="T67" s="6">
        <v>0</v>
      </c>
      <c r="U67" s="6">
        <v>0.362207075</v>
      </c>
      <c r="V67" s="6">
        <v>0</v>
      </c>
      <c r="W67" s="6">
        <v>0.010287225</v>
      </c>
      <c r="X67" s="6">
        <v>0.117291972</v>
      </c>
      <c r="Y67" s="6">
        <v>0</v>
      </c>
      <c r="Z67" s="6">
        <v>0.0008</v>
      </c>
      <c r="AA67" s="6">
        <v>0</v>
      </c>
    </row>
    <row r="68" ht="15" spans="1:27">
      <c r="A68" s="6" t="s">
        <v>261</v>
      </c>
      <c r="B68" s="7" t="s">
        <v>29</v>
      </c>
      <c r="C68" s="7" t="s">
        <v>29</v>
      </c>
      <c r="D68" s="7" t="s">
        <v>131</v>
      </c>
      <c r="E68" s="7" t="s">
        <v>370</v>
      </c>
      <c r="F68" s="6">
        <v>0.079152308</v>
      </c>
      <c r="G68" s="6">
        <v>0</v>
      </c>
      <c r="H68" s="6">
        <v>0.061313742</v>
      </c>
      <c r="I68" s="6">
        <v>0.044173103</v>
      </c>
      <c r="J68" s="6">
        <v>0</v>
      </c>
      <c r="K68" s="6">
        <v>0.246310399</v>
      </c>
      <c r="L68" s="6">
        <v>0</v>
      </c>
      <c r="M68" s="6">
        <v>0.0004</v>
      </c>
      <c r="N68" s="6">
        <v>0</v>
      </c>
      <c r="O68" s="6">
        <v>0</v>
      </c>
      <c r="P68" s="6">
        <v>0</v>
      </c>
      <c r="Q68" s="6">
        <v>0.035052575</v>
      </c>
      <c r="R68" s="6">
        <v>0.014102075</v>
      </c>
      <c r="S68" s="6">
        <v>0</v>
      </c>
      <c r="T68" s="6">
        <v>0.100211067</v>
      </c>
      <c r="U68" s="6">
        <v>0.365012962</v>
      </c>
      <c r="V68" s="6">
        <v>0</v>
      </c>
      <c r="W68" s="6">
        <v>0.003357887</v>
      </c>
      <c r="X68" s="6">
        <v>0.050922645</v>
      </c>
      <c r="Y68" s="6">
        <v>0</v>
      </c>
      <c r="Z68" s="6">
        <v>0</v>
      </c>
      <c r="AA68" s="6">
        <v>0</v>
      </c>
    </row>
    <row r="69" ht="15" hidden="1" spans="1:27">
      <c r="A69" s="6" t="s">
        <v>97</v>
      </c>
      <c r="B69" s="7" t="s">
        <v>341</v>
      </c>
      <c r="C69" s="7" t="s">
        <v>344</v>
      </c>
      <c r="D69" s="7" t="s">
        <v>31</v>
      </c>
      <c r="E69" s="7" t="s">
        <v>370</v>
      </c>
      <c r="F69" s="6">
        <v>0.041428769</v>
      </c>
      <c r="G69" s="6">
        <v>0</v>
      </c>
      <c r="H69" s="6">
        <v>0</v>
      </c>
      <c r="I69" s="6">
        <v>0.008500366</v>
      </c>
      <c r="J69" s="6">
        <v>0</v>
      </c>
      <c r="K69" s="6">
        <v>0.107988679</v>
      </c>
      <c r="L69" s="6">
        <v>0</v>
      </c>
      <c r="M69" s="6">
        <v>0</v>
      </c>
      <c r="N69" s="6">
        <v>0.011861718</v>
      </c>
      <c r="O69" s="6">
        <v>0</v>
      </c>
      <c r="P69" s="6">
        <v>0.030528102</v>
      </c>
      <c r="Q69" s="6">
        <v>0.022092938</v>
      </c>
      <c r="R69" s="6">
        <v>0.111025053</v>
      </c>
      <c r="S69" s="6">
        <v>0</v>
      </c>
      <c r="T69" s="6">
        <v>0.00420439</v>
      </c>
      <c r="U69" s="6">
        <v>0.632136513</v>
      </c>
      <c r="V69" s="6">
        <v>0</v>
      </c>
      <c r="W69" s="6">
        <v>0.0008</v>
      </c>
      <c r="X69" s="6">
        <v>0.029457443</v>
      </c>
      <c r="Y69" s="6">
        <v>0</v>
      </c>
      <c r="Z69" s="6">
        <v>0</v>
      </c>
      <c r="AA69" s="6">
        <v>0</v>
      </c>
    </row>
    <row r="70" ht="15" spans="1:27">
      <c r="A70" s="6" t="s">
        <v>301</v>
      </c>
      <c r="B70" s="7" t="s">
        <v>29</v>
      </c>
      <c r="C70" s="7" t="s">
        <v>29</v>
      </c>
      <c r="D70" s="7" t="s">
        <v>181</v>
      </c>
      <c r="E70" s="7" t="s">
        <v>370</v>
      </c>
      <c r="F70" s="6">
        <v>0.106664118</v>
      </c>
      <c r="G70" s="6">
        <v>0</v>
      </c>
      <c r="H70" s="6">
        <v>0</v>
      </c>
      <c r="I70" s="6">
        <v>0.031448996</v>
      </c>
      <c r="J70" s="6">
        <v>0</v>
      </c>
      <c r="K70" s="6">
        <v>0.08318041</v>
      </c>
      <c r="L70" s="6">
        <v>0</v>
      </c>
      <c r="M70" s="6">
        <v>0.015943024</v>
      </c>
      <c r="N70" s="6">
        <v>0.031021594</v>
      </c>
      <c r="O70" s="6">
        <v>0</v>
      </c>
      <c r="P70" s="6">
        <v>0</v>
      </c>
      <c r="Q70" s="6">
        <v>0.042964799</v>
      </c>
      <c r="R70" s="6">
        <v>0.009293089</v>
      </c>
      <c r="S70" s="6">
        <v>0.14626784</v>
      </c>
      <c r="T70" s="6">
        <v>0.025469973</v>
      </c>
      <c r="U70" s="6">
        <v>0.37018854</v>
      </c>
      <c r="V70" s="6">
        <v>0</v>
      </c>
      <c r="W70" s="6">
        <v>0</v>
      </c>
      <c r="X70" s="6">
        <v>0.137557618</v>
      </c>
      <c r="Y70" s="6">
        <v>0</v>
      </c>
      <c r="Z70" s="6">
        <v>0</v>
      </c>
      <c r="AA70" s="6">
        <v>0</v>
      </c>
    </row>
    <row r="71" ht="15" hidden="1" spans="1:27">
      <c r="A71" s="6" t="s">
        <v>200</v>
      </c>
      <c r="B71" s="7" t="s">
        <v>29</v>
      </c>
      <c r="C71" s="7" t="s">
        <v>341</v>
      </c>
      <c r="D71" s="7" t="s">
        <v>18</v>
      </c>
      <c r="E71" s="7" t="s">
        <v>370</v>
      </c>
      <c r="F71" s="6">
        <v>0</v>
      </c>
      <c r="G71" s="6">
        <v>0.01415988</v>
      </c>
      <c r="H71" s="6">
        <v>0.015120301</v>
      </c>
      <c r="I71" s="6">
        <v>0.145873758</v>
      </c>
      <c r="J71" s="6">
        <v>0</v>
      </c>
      <c r="K71" s="6">
        <v>0.099134522</v>
      </c>
      <c r="L71" s="6">
        <v>0.018986287</v>
      </c>
      <c r="M71" s="6">
        <v>0.019779299</v>
      </c>
      <c r="N71" s="6">
        <v>0.014479918</v>
      </c>
      <c r="O71" s="6">
        <v>0</v>
      </c>
      <c r="P71" s="6">
        <v>0</v>
      </c>
      <c r="Q71" s="6">
        <v>0.056362836</v>
      </c>
      <c r="R71" s="6">
        <v>0.00969118</v>
      </c>
      <c r="S71" s="6">
        <v>0.060402161</v>
      </c>
      <c r="T71" s="6">
        <v>0.008819729</v>
      </c>
      <c r="U71" s="6">
        <v>0.359793919</v>
      </c>
      <c r="V71" s="6">
        <v>0.0005</v>
      </c>
      <c r="W71" s="6">
        <v>0</v>
      </c>
      <c r="X71" s="6">
        <v>0.171548921</v>
      </c>
      <c r="Y71" s="6">
        <v>0</v>
      </c>
      <c r="Z71" s="6">
        <v>0.00531431</v>
      </c>
      <c r="AA71" s="6">
        <v>0</v>
      </c>
    </row>
    <row r="72" ht="15" hidden="1" spans="1:27">
      <c r="A72" s="6" t="s">
        <v>338</v>
      </c>
      <c r="B72" s="7" t="s">
        <v>344</v>
      </c>
      <c r="C72" s="7" t="s">
        <v>29</v>
      </c>
      <c r="D72" s="7" t="s">
        <v>18</v>
      </c>
      <c r="E72" s="7" t="s">
        <v>370</v>
      </c>
      <c r="F72" s="6">
        <v>0.056891567</v>
      </c>
      <c r="G72" s="6">
        <v>0</v>
      </c>
      <c r="H72" s="6">
        <v>0</v>
      </c>
      <c r="I72" s="6">
        <v>0.039351991</v>
      </c>
      <c r="J72" s="6">
        <v>0</v>
      </c>
      <c r="K72" s="6">
        <v>0.193714677</v>
      </c>
      <c r="L72" s="6">
        <v>0</v>
      </c>
      <c r="M72" s="6">
        <v>0</v>
      </c>
      <c r="N72" s="6">
        <v>0.002618992</v>
      </c>
      <c r="O72" s="6">
        <v>0</v>
      </c>
      <c r="P72" s="6">
        <v>0.01248911</v>
      </c>
      <c r="Q72" s="6">
        <v>0.010925234</v>
      </c>
      <c r="R72" s="6">
        <v>0.092347789</v>
      </c>
      <c r="S72" s="6">
        <v>0</v>
      </c>
      <c r="T72" s="6">
        <v>0.031571322</v>
      </c>
      <c r="U72" s="6">
        <v>0.443333229</v>
      </c>
      <c r="V72" s="6">
        <v>0</v>
      </c>
      <c r="W72" s="6">
        <v>0</v>
      </c>
      <c r="X72" s="6">
        <v>0.11675609</v>
      </c>
      <c r="Y72" s="6">
        <v>0</v>
      </c>
      <c r="Z72" s="6">
        <v>0</v>
      </c>
      <c r="AA72" s="6">
        <v>0</v>
      </c>
    </row>
    <row r="73" ht="15" spans="1:27">
      <c r="A73" s="6" t="s">
        <v>219</v>
      </c>
      <c r="B73" s="7" t="s">
        <v>29</v>
      </c>
      <c r="C73" s="7" t="s">
        <v>29</v>
      </c>
      <c r="D73" s="7" t="s">
        <v>51</v>
      </c>
      <c r="E73" s="7" t="s">
        <v>370</v>
      </c>
      <c r="F73" s="6">
        <v>0.071955258</v>
      </c>
      <c r="G73" s="6">
        <v>0</v>
      </c>
      <c r="H73" s="6">
        <v>0.011311398</v>
      </c>
      <c r="I73" s="6">
        <v>0.061192848</v>
      </c>
      <c r="J73" s="6">
        <v>0</v>
      </c>
      <c r="K73" s="6">
        <v>0.099028374</v>
      </c>
      <c r="L73" s="6">
        <v>0</v>
      </c>
      <c r="M73" s="6">
        <v>0</v>
      </c>
      <c r="N73" s="6">
        <v>0</v>
      </c>
      <c r="O73" s="6">
        <v>0</v>
      </c>
      <c r="P73" s="6">
        <v>0.0009</v>
      </c>
      <c r="Q73" s="6">
        <v>0.025907687</v>
      </c>
      <c r="R73" s="6">
        <v>0.073392725</v>
      </c>
      <c r="S73" s="6">
        <v>0</v>
      </c>
      <c r="T73" s="6">
        <v>0.044332523</v>
      </c>
      <c r="U73" s="6">
        <v>0.511715664</v>
      </c>
      <c r="V73" s="6">
        <v>0</v>
      </c>
      <c r="W73" s="6">
        <v>0</v>
      </c>
      <c r="X73" s="6">
        <v>0.100232512</v>
      </c>
      <c r="Y73" s="6">
        <v>0</v>
      </c>
      <c r="Z73" s="6">
        <v>0</v>
      </c>
      <c r="AA73" s="6">
        <v>0</v>
      </c>
    </row>
    <row r="74" ht="15" hidden="1" spans="1:27">
      <c r="A74" s="6" t="s">
        <v>72</v>
      </c>
      <c r="B74" s="7" t="s">
        <v>344</v>
      </c>
      <c r="C74" s="7" t="s">
        <v>341</v>
      </c>
      <c r="D74" s="7" t="s">
        <v>55</v>
      </c>
      <c r="E74" s="7" t="s">
        <v>370</v>
      </c>
      <c r="F74" s="6">
        <v>0.050903745</v>
      </c>
      <c r="G74" s="6">
        <v>0</v>
      </c>
      <c r="H74" s="6">
        <v>0</v>
      </c>
      <c r="I74" s="6">
        <v>0</v>
      </c>
      <c r="J74" s="6">
        <v>0</v>
      </c>
      <c r="K74" s="6">
        <v>0.154852237</v>
      </c>
      <c r="L74" s="6">
        <v>0</v>
      </c>
      <c r="M74" s="6">
        <v>0.002960386</v>
      </c>
      <c r="N74" s="6">
        <v>0</v>
      </c>
      <c r="O74" s="6">
        <v>0</v>
      </c>
      <c r="P74" s="6">
        <v>0</v>
      </c>
      <c r="Q74" s="6">
        <v>0.061855727</v>
      </c>
      <c r="R74" s="6">
        <v>0.042471307</v>
      </c>
      <c r="S74" s="6">
        <v>0</v>
      </c>
      <c r="T74" s="6">
        <v>0.013601168</v>
      </c>
      <c r="U74" s="6">
        <v>0.475721484</v>
      </c>
      <c r="V74" s="6">
        <v>0</v>
      </c>
      <c r="W74" s="6">
        <v>0</v>
      </c>
      <c r="X74" s="6">
        <v>0.197633946</v>
      </c>
      <c r="Y74" s="6">
        <v>0</v>
      </c>
      <c r="Z74" s="6">
        <v>0</v>
      </c>
      <c r="AA74" s="6">
        <v>0</v>
      </c>
    </row>
    <row r="75" ht="15" hidden="1" spans="1:27">
      <c r="A75" s="6" t="s">
        <v>259</v>
      </c>
      <c r="B75" s="7" t="s">
        <v>341</v>
      </c>
      <c r="C75" s="7" t="s">
        <v>29</v>
      </c>
      <c r="D75" s="7" t="s">
        <v>55</v>
      </c>
      <c r="E75" s="7" t="s">
        <v>370</v>
      </c>
      <c r="F75" s="6">
        <v>0</v>
      </c>
      <c r="G75" s="6">
        <v>0.029233226</v>
      </c>
      <c r="H75" s="6">
        <v>0.057210772</v>
      </c>
      <c r="I75" s="6">
        <v>0.115903893</v>
      </c>
      <c r="J75" s="6">
        <v>0</v>
      </c>
      <c r="K75" s="6">
        <v>0.117284868</v>
      </c>
      <c r="L75" s="6">
        <v>0.004132608</v>
      </c>
      <c r="M75" s="6">
        <v>0.009766972</v>
      </c>
      <c r="N75" s="6">
        <v>0.026069958</v>
      </c>
      <c r="O75" s="6">
        <v>0</v>
      </c>
      <c r="P75" s="6">
        <v>0</v>
      </c>
      <c r="Q75" s="6">
        <v>0.031869865</v>
      </c>
      <c r="R75" s="6">
        <v>0.022537204</v>
      </c>
      <c r="S75" s="6">
        <v>0.023676231</v>
      </c>
      <c r="T75" s="6">
        <v>0.021929539</v>
      </c>
      <c r="U75" s="6">
        <v>0.499282038</v>
      </c>
      <c r="V75" s="6">
        <v>0</v>
      </c>
      <c r="W75" s="6">
        <v>0</v>
      </c>
      <c r="X75" s="6">
        <v>0.036666103</v>
      </c>
      <c r="Y75" s="6">
        <v>0</v>
      </c>
      <c r="Z75" s="6">
        <v>0</v>
      </c>
      <c r="AA75" s="6">
        <v>0.004436723</v>
      </c>
    </row>
    <row r="76" ht="15" hidden="1" spans="1:27">
      <c r="A76" s="6" t="s">
        <v>187</v>
      </c>
      <c r="B76" s="7" t="s">
        <v>29</v>
      </c>
      <c r="C76" s="7" t="s">
        <v>341</v>
      </c>
      <c r="D76" s="7" t="s">
        <v>18</v>
      </c>
      <c r="E76" s="7" t="s">
        <v>370</v>
      </c>
      <c r="F76" s="6">
        <v>0</v>
      </c>
      <c r="G76" s="6">
        <v>0.015659994</v>
      </c>
      <c r="H76" s="6">
        <v>0.008315633</v>
      </c>
      <c r="I76" s="6">
        <v>0.003057921</v>
      </c>
      <c r="J76" s="6">
        <v>0</v>
      </c>
      <c r="K76" s="6">
        <v>0.251068486</v>
      </c>
      <c r="L76" s="6">
        <v>0</v>
      </c>
      <c r="M76" s="6">
        <v>0.014897928</v>
      </c>
      <c r="N76" s="6">
        <v>0</v>
      </c>
      <c r="O76" s="6">
        <v>0</v>
      </c>
      <c r="P76" s="6">
        <v>0</v>
      </c>
      <c r="Q76" s="6">
        <v>0.079241947</v>
      </c>
      <c r="R76" s="6">
        <v>0.065541444</v>
      </c>
      <c r="S76" s="6">
        <v>0</v>
      </c>
      <c r="T76" s="6">
        <v>0.044087687</v>
      </c>
      <c r="U76" s="6">
        <v>0.400634456</v>
      </c>
      <c r="V76" s="6">
        <v>0.011459822</v>
      </c>
      <c r="W76" s="6">
        <v>0.005072067</v>
      </c>
      <c r="X76" s="6">
        <v>0.100962616</v>
      </c>
      <c r="Y76" s="6">
        <v>0</v>
      </c>
      <c r="Z76" s="6">
        <v>0</v>
      </c>
      <c r="AA76" s="6">
        <v>0</v>
      </c>
    </row>
    <row r="77" ht="15" spans="1:27">
      <c r="A77" s="6" t="s">
        <v>298</v>
      </c>
      <c r="B77" s="7" t="s">
        <v>29</v>
      </c>
      <c r="C77" s="7" t="s">
        <v>29</v>
      </c>
      <c r="D77" s="7" t="s">
        <v>51</v>
      </c>
      <c r="E77" s="7" t="s">
        <v>370</v>
      </c>
      <c r="F77" s="6">
        <v>0.029906449</v>
      </c>
      <c r="G77" s="6">
        <v>0</v>
      </c>
      <c r="H77" s="6">
        <v>0.002294963</v>
      </c>
      <c r="I77" s="6">
        <v>0.018786629</v>
      </c>
      <c r="J77" s="6">
        <v>0</v>
      </c>
      <c r="K77" s="6">
        <v>0.118174884</v>
      </c>
      <c r="L77" s="6">
        <v>0</v>
      </c>
      <c r="M77" s="6">
        <v>0.003668614</v>
      </c>
      <c r="N77" s="6">
        <v>0.020583185</v>
      </c>
      <c r="O77" s="6">
        <v>0</v>
      </c>
      <c r="P77" s="6">
        <v>0</v>
      </c>
      <c r="Q77" s="6">
        <v>0.027842505</v>
      </c>
      <c r="R77" s="6">
        <v>0.015848618</v>
      </c>
      <c r="S77" s="6">
        <v>0</v>
      </c>
      <c r="T77" s="6">
        <v>0.013149887</v>
      </c>
      <c r="U77" s="6">
        <v>0.365161599</v>
      </c>
      <c r="V77" s="6">
        <v>0.061334751</v>
      </c>
      <c r="W77" s="6">
        <v>0.018048761</v>
      </c>
      <c r="X77" s="6">
        <v>0.305199155</v>
      </c>
      <c r="Y77" s="6">
        <v>0</v>
      </c>
      <c r="Z77" s="6">
        <v>0</v>
      </c>
      <c r="AA77" s="6">
        <v>0</v>
      </c>
    </row>
    <row r="78" ht="15" hidden="1" spans="1:27">
      <c r="A78" s="6" t="s">
        <v>224</v>
      </c>
      <c r="B78" s="7" t="s">
        <v>344</v>
      </c>
      <c r="C78" s="7" t="s">
        <v>29</v>
      </c>
      <c r="D78" s="7" t="s">
        <v>18</v>
      </c>
      <c r="E78" s="7" t="s">
        <v>370</v>
      </c>
      <c r="F78" s="6">
        <v>0.063565655</v>
      </c>
      <c r="G78" s="6">
        <v>0</v>
      </c>
      <c r="H78" s="6">
        <v>0</v>
      </c>
      <c r="I78" s="6">
        <v>0.032267445</v>
      </c>
      <c r="J78" s="6">
        <v>0</v>
      </c>
      <c r="K78" s="6">
        <v>0.143791345</v>
      </c>
      <c r="L78" s="6">
        <v>0</v>
      </c>
      <c r="M78" s="6">
        <v>0</v>
      </c>
      <c r="N78" s="6">
        <v>0</v>
      </c>
      <c r="O78" s="6">
        <v>0</v>
      </c>
      <c r="P78" s="6">
        <v>0.076014688</v>
      </c>
      <c r="Q78" s="6">
        <v>0.017390173</v>
      </c>
      <c r="R78" s="6">
        <v>0.021157541</v>
      </c>
      <c r="S78" s="6">
        <v>0</v>
      </c>
      <c r="T78" s="6">
        <v>0.063710495</v>
      </c>
      <c r="U78" s="6">
        <v>0.479095055</v>
      </c>
      <c r="V78" s="6">
        <v>0</v>
      </c>
      <c r="W78" s="6">
        <v>0</v>
      </c>
      <c r="X78" s="6">
        <v>0.103007602</v>
      </c>
      <c r="Y78" s="6">
        <v>0</v>
      </c>
      <c r="Z78" s="6">
        <v>0</v>
      </c>
      <c r="AA78" s="6">
        <v>0</v>
      </c>
    </row>
    <row r="79" ht="15" hidden="1" spans="1:27">
      <c r="A79" s="6" t="s">
        <v>244</v>
      </c>
      <c r="B79" s="7" t="s">
        <v>341</v>
      </c>
      <c r="C79" s="7" t="s">
        <v>29</v>
      </c>
      <c r="D79" s="7" t="s">
        <v>18</v>
      </c>
      <c r="E79" s="7" t="s">
        <v>370</v>
      </c>
      <c r="F79" s="6">
        <v>0.075312364</v>
      </c>
      <c r="G79" s="6">
        <v>0</v>
      </c>
      <c r="H79" s="6">
        <v>0</v>
      </c>
      <c r="I79" s="6">
        <v>0.005205843</v>
      </c>
      <c r="J79" s="6">
        <v>0</v>
      </c>
      <c r="K79" s="6">
        <v>0.245504502</v>
      </c>
      <c r="L79" s="6">
        <v>0</v>
      </c>
      <c r="M79" s="6">
        <v>0</v>
      </c>
      <c r="N79" s="6">
        <v>0</v>
      </c>
      <c r="O79" s="6">
        <v>0</v>
      </c>
      <c r="P79" s="6">
        <v>0.008483395</v>
      </c>
      <c r="Q79" s="6">
        <v>0.015111561</v>
      </c>
      <c r="R79" s="6">
        <v>0.108189407</v>
      </c>
      <c r="S79" s="6">
        <v>0.168789371</v>
      </c>
      <c r="T79" s="6">
        <v>0</v>
      </c>
      <c r="U79" s="6">
        <v>0.369982099</v>
      </c>
      <c r="V79" s="6">
        <v>0</v>
      </c>
      <c r="W79" s="6">
        <v>0.0008</v>
      </c>
      <c r="X79" s="6">
        <v>0.002643789</v>
      </c>
      <c r="Y79" s="6">
        <v>0</v>
      </c>
      <c r="Z79" s="6">
        <v>0</v>
      </c>
      <c r="AA79" s="6">
        <v>0</v>
      </c>
    </row>
    <row r="80" ht="15" hidden="1" spans="1:27">
      <c r="A80" s="6" t="s">
        <v>257</v>
      </c>
      <c r="B80" s="7" t="s">
        <v>341</v>
      </c>
      <c r="C80" s="7" t="s">
        <v>29</v>
      </c>
      <c r="D80" s="7" t="s">
        <v>18</v>
      </c>
      <c r="E80" s="7" t="s">
        <v>370</v>
      </c>
      <c r="F80" s="6">
        <v>0.091476941</v>
      </c>
      <c r="G80" s="6">
        <v>0</v>
      </c>
      <c r="H80" s="6">
        <v>0</v>
      </c>
      <c r="I80" s="6">
        <v>0.058935348</v>
      </c>
      <c r="J80" s="6">
        <v>0</v>
      </c>
      <c r="K80" s="6">
        <v>0.199958679</v>
      </c>
      <c r="L80" s="6">
        <v>0.004244477</v>
      </c>
      <c r="M80" s="6">
        <v>0</v>
      </c>
      <c r="N80" s="6">
        <v>0.063435735</v>
      </c>
      <c r="O80" s="6">
        <v>0</v>
      </c>
      <c r="P80" s="6">
        <v>0.066072146</v>
      </c>
      <c r="Q80" s="6">
        <v>0</v>
      </c>
      <c r="R80" s="6">
        <v>0.063112905</v>
      </c>
      <c r="S80" s="6">
        <v>0.064422418</v>
      </c>
      <c r="T80" s="6">
        <v>0.004089395</v>
      </c>
      <c r="U80" s="6">
        <v>0.350670032</v>
      </c>
      <c r="V80" s="6">
        <v>0</v>
      </c>
      <c r="W80" s="6">
        <v>0.011686752</v>
      </c>
      <c r="X80" s="6">
        <v>0.021880318</v>
      </c>
      <c r="Y80" s="6">
        <v>0</v>
      </c>
      <c r="Z80" s="6">
        <v>0</v>
      </c>
      <c r="AA80" s="6">
        <v>0</v>
      </c>
    </row>
    <row r="81" ht="15" hidden="1" spans="1:27">
      <c r="A81" s="6" t="s">
        <v>180</v>
      </c>
      <c r="B81" s="7" t="s">
        <v>29</v>
      </c>
      <c r="C81" s="7" t="s">
        <v>341</v>
      </c>
      <c r="D81" s="7" t="s">
        <v>181</v>
      </c>
      <c r="E81" s="7" t="s">
        <v>370</v>
      </c>
      <c r="F81" s="6">
        <v>0.132442004</v>
      </c>
      <c r="G81" s="6">
        <v>0</v>
      </c>
      <c r="H81" s="6">
        <v>0</v>
      </c>
      <c r="I81" s="6">
        <v>0</v>
      </c>
      <c r="J81" s="6">
        <v>0</v>
      </c>
      <c r="K81" s="6">
        <v>0.144412891</v>
      </c>
      <c r="L81" s="6">
        <v>0</v>
      </c>
      <c r="M81" s="6">
        <v>0</v>
      </c>
      <c r="N81" s="6">
        <v>0.004707668</v>
      </c>
      <c r="O81" s="6">
        <v>0</v>
      </c>
      <c r="P81" s="6">
        <v>0</v>
      </c>
      <c r="Q81" s="6">
        <v>0.04259968</v>
      </c>
      <c r="R81" s="6">
        <v>0.062534024</v>
      </c>
      <c r="S81" s="6">
        <v>0</v>
      </c>
      <c r="T81" s="6">
        <v>0.019164013</v>
      </c>
      <c r="U81" s="6">
        <v>0.575795474</v>
      </c>
      <c r="V81" s="6">
        <v>0</v>
      </c>
      <c r="W81" s="6">
        <v>0.018344245</v>
      </c>
      <c r="X81" s="6">
        <v>0</v>
      </c>
      <c r="Y81" s="6">
        <v>0</v>
      </c>
      <c r="Z81" s="6">
        <v>0</v>
      </c>
      <c r="AA81" s="6">
        <v>0</v>
      </c>
    </row>
    <row r="82" ht="15" hidden="1" spans="1:27">
      <c r="A82" s="6" t="s">
        <v>126</v>
      </c>
      <c r="B82" s="7" t="s">
        <v>29</v>
      </c>
      <c r="C82" s="7" t="s">
        <v>341</v>
      </c>
      <c r="D82" s="7" t="s">
        <v>55</v>
      </c>
      <c r="E82" s="7" t="s">
        <v>370</v>
      </c>
      <c r="F82" s="6">
        <v>0.035137685</v>
      </c>
      <c r="G82" s="6">
        <v>0</v>
      </c>
      <c r="H82" s="6">
        <v>0</v>
      </c>
      <c r="I82" s="6">
        <v>0.016602096</v>
      </c>
      <c r="J82" s="6">
        <v>0</v>
      </c>
      <c r="K82" s="6">
        <v>0.173642478</v>
      </c>
      <c r="L82" s="6">
        <v>0.012801979</v>
      </c>
      <c r="M82" s="6">
        <v>0.005586509</v>
      </c>
      <c r="N82" s="6">
        <v>0</v>
      </c>
      <c r="O82" s="6">
        <v>0</v>
      </c>
      <c r="P82" s="6">
        <v>0.009546716</v>
      </c>
      <c r="Q82" s="6">
        <v>0.00530172</v>
      </c>
      <c r="R82" s="6">
        <v>0.01345654</v>
      </c>
      <c r="S82" s="6">
        <v>0.059284492</v>
      </c>
      <c r="T82" s="6">
        <v>0.072595862</v>
      </c>
      <c r="U82" s="6">
        <v>0.54902363</v>
      </c>
      <c r="V82" s="6">
        <v>0</v>
      </c>
      <c r="W82" s="6">
        <v>0</v>
      </c>
      <c r="X82" s="6">
        <v>0.03983393</v>
      </c>
      <c r="Y82" s="6">
        <v>0</v>
      </c>
      <c r="Z82" s="6">
        <v>0</v>
      </c>
      <c r="AA82" s="6">
        <v>0.007186362</v>
      </c>
    </row>
    <row r="83" ht="15" hidden="1" spans="1:27">
      <c r="A83" s="6" t="s">
        <v>98</v>
      </c>
      <c r="B83" s="7" t="s">
        <v>341</v>
      </c>
      <c r="C83" s="7" t="s">
        <v>341</v>
      </c>
      <c r="D83" s="7" t="s">
        <v>55</v>
      </c>
      <c r="E83" s="7" t="s">
        <v>370</v>
      </c>
      <c r="F83" s="6">
        <v>0.027695734</v>
      </c>
      <c r="G83" s="6">
        <v>0</v>
      </c>
      <c r="H83" s="6">
        <v>0.057732774</v>
      </c>
      <c r="I83" s="6">
        <v>0.015392731</v>
      </c>
      <c r="J83" s="6">
        <v>0</v>
      </c>
      <c r="K83" s="6">
        <v>0.096092787</v>
      </c>
      <c r="L83" s="6">
        <v>0.013868004</v>
      </c>
      <c r="M83" s="6">
        <v>0</v>
      </c>
      <c r="N83" s="6">
        <v>0.028365538</v>
      </c>
      <c r="O83" s="6">
        <v>0</v>
      </c>
      <c r="P83" s="6">
        <v>0.011247156</v>
      </c>
      <c r="Q83" s="6">
        <v>0</v>
      </c>
      <c r="R83" s="6">
        <v>0</v>
      </c>
      <c r="S83" s="6">
        <v>0.064032753</v>
      </c>
      <c r="T83" s="6">
        <v>0.008041858</v>
      </c>
      <c r="U83" s="6">
        <v>0.667800762</v>
      </c>
      <c r="V83" s="6">
        <v>0</v>
      </c>
      <c r="W83" s="6">
        <v>0</v>
      </c>
      <c r="X83" s="6">
        <v>0</v>
      </c>
      <c r="Y83" s="6">
        <v>0.005472909</v>
      </c>
      <c r="Z83" s="6">
        <v>0</v>
      </c>
      <c r="AA83" s="6">
        <v>0.004256994</v>
      </c>
    </row>
    <row r="84" ht="15" hidden="1" spans="1:27">
      <c r="A84" s="6" t="s">
        <v>56</v>
      </c>
      <c r="B84" s="7" t="s">
        <v>344</v>
      </c>
      <c r="C84" s="7" t="s">
        <v>344</v>
      </c>
      <c r="D84" s="7" t="s">
        <v>18</v>
      </c>
      <c r="E84" s="7" t="s">
        <v>370</v>
      </c>
      <c r="F84" s="6">
        <v>0.026373403</v>
      </c>
      <c r="G84" s="6">
        <v>0</v>
      </c>
      <c r="H84" s="6">
        <v>0.003297081</v>
      </c>
      <c r="I84" s="6">
        <v>0.178285824</v>
      </c>
      <c r="J84" s="6">
        <v>0</v>
      </c>
      <c r="K84" s="6">
        <v>0.07988619</v>
      </c>
      <c r="L84" s="6">
        <v>0</v>
      </c>
      <c r="M84" s="6">
        <v>0.052491597</v>
      </c>
      <c r="N84" s="6">
        <v>0.03600279</v>
      </c>
      <c r="O84" s="6">
        <v>0</v>
      </c>
      <c r="P84" s="6">
        <v>0</v>
      </c>
      <c r="Q84" s="6">
        <v>0.033151743</v>
      </c>
      <c r="R84" s="6">
        <v>0.006682399</v>
      </c>
      <c r="S84" s="6">
        <v>0</v>
      </c>
      <c r="T84" s="6">
        <v>0.0821944</v>
      </c>
      <c r="U84" s="6">
        <v>0.501634572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</row>
    <row r="85" ht="15" hidden="1" spans="1:27">
      <c r="A85" s="6" t="s">
        <v>174</v>
      </c>
      <c r="B85" s="7" t="s">
        <v>29</v>
      </c>
      <c r="C85" s="7" t="s">
        <v>344</v>
      </c>
      <c r="D85" s="7" t="s">
        <v>175</v>
      </c>
      <c r="E85" s="7" t="s">
        <v>370</v>
      </c>
      <c r="F85" s="6">
        <v>0.07311706</v>
      </c>
      <c r="G85" s="6">
        <v>0</v>
      </c>
      <c r="H85" s="6">
        <v>0</v>
      </c>
      <c r="I85" s="6">
        <v>0</v>
      </c>
      <c r="J85" s="6">
        <v>0</v>
      </c>
      <c r="K85" s="6">
        <v>0.136816839</v>
      </c>
      <c r="L85" s="6">
        <v>0</v>
      </c>
      <c r="M85" s="6">
        <v>0.006708015</v>
      </c>
      <c r="N85" s="6">
        <v>0</v>
      </c>
      <c r="O85" s="6">
        <v>0</v>
      </c>
      <c r="P85" s="6">
        <v>0.033961434</v>
      </c>
      <c r="Q85" s="6">
        <v>0.034780041</v>
      </c>
      <c r="R85" s="6">
        <v>0.017012508</v>
      </c>
      <c r="S85" s="6">
        <v>0.161377089</v>
      </c>
      <c r="T85" s="6">
        <v>0</v>
      </c>
      <c r="U85" s="6">
        <v>0.374671153</v>
      </c>
      <c r="V85" s="6">
        <v>0</v>
      </c>
      <c r="W85" s="6">
        <v>0.004149427</v>
      </c>
      <c r="X85" s="6">
        <v>0.157406434</v>
      </c>
      <c r="Y85" s="6">
        <v>0</v>
      </c>
      <c r="Z85" s="6">
        <v>0</v>
      </c>
      <c r="AA85" s="6">
        <v>0</v>
      </c>
    </row>
    <row r="86" ht="15" hidden="1" spans="1:27">
      <c r="A86" s="6" t="s">
        <v>240</v>
      </c>
      <c r="B86" s="7" t="s">
        <v>344</v>
      </c>
      <c r="C86" s="7" t="s">
        <v>341</v>
      </c>
      <c r="D86" s="7" t="s">
        <v>157</v>
      </c>
      <c r="E86" s="7" t="s">
        <v>370</v>
      </c>
      <c r="F86" s="6">
        <v>0.04848142</v>
      </c>
      <c r="G86" s="6">
        <v>0</v>
      </c>
      <c r="H86" s="6">
        <v>0.001326736</v>
      </c>
      <c r="I86" s="6">
        <v>0.079234246</v>
      </c>
      <c r="J86" s="6">
        <v>0</v>
      </c>
      <c r="K86" s="6">
        <v>0.090447474</v>
      </c>
      <c r="L86" s="6">
        <v>0</v>
      </c>
      <c r="M86" s="6">
        <v>0.005145187</v>
      </c>
      <c r="N86" s="6">
        <v>0.014423446</v>
      </c>
      <c r="O86" s="6">
        <v>0</v>
      </c>
      <c r="P86" s="6">
        <v>0.015506526</v>
      </c>
      <c r="Q86" s="6">
        <v>0</v>
      </c>
      <c r="R86" s="6">
        <v>0.142125122</v>
      </c>
      <c r="S86" s="6">
        <v>0.092590873</v>
      </c>
      <c r="T86" s="6">
        <v>0.011580407</v>
      </c>
      <c r="U86" s="6">
        <v>0.426313125</v>
      </c>
      <c r="V86" s="6">
        <v>0</v>
      </c>
      <c r="W86" s="6">
        <v>0.038263557</v>
      </c>
      <c r="X86" s="6">
        <v>0.03456188</v>
      </c>
      <c r="Y86" s="6">
        <v>0</v>
      </c>
      <c r="Z86" s="6">
        <v>0</v>
      </c>
      <c r="AA86" s="6">
        <v>0</v>
      </c>
    </row>
    <row r="87" ht="15" hidden="1" spans="1:27">
      <c r="A87" s="6" t="s">
        <v>255</v>
      </c>
      <c r="B87" s="7" t="s">
        <v>341</v>
      </c>
      <c r="C87" s="7" t="s">
        <v>344</v>
      </c>
      <c r="D87" s="7" t="s">
        <v>157</v>
      </c>
      <c r="E87" s="7" t="s">
        <v>370</v>
      </c>
      <c r="F87" s="6">
        <v>0.181455876</v>
      </c>
      <c r="G87" s="6">
        <v>0</v>
      </c>
      <c r="H87" s="6">
        <v>0.007415219</v>
      </c>
      <c r="I87" s="6">
        <v>0.038686314</v>
      </c>
      <c r="J87" s="6">
        <v>0</v>
      </c>
      <c r="K87" s="6">
        <v>0.149869577</v>
      </c>
      <c r="L87" s="6">
        <v>0.002596197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0.103679201</v>
      </c>
      <c r="T87" s="6">
        <v>0.005112858</v>
      </c>
      <c r="U87" s="6">
        <v>0.484917475</v>
      </c>
      <c r="V87" s="6">
        <v>0</v>
      </c>
      <c r="W87" s="6">
        <v>0.006000489</v>
      </c>
      <c r="X87" s="6">
        <v>0.020266794</v>
      </c>
      <c r="Y87" s="6">
        <v>0</v>
      </c>
      <c r="Z87" s="6">
        <v>0</v>
      </c>
      <c r="AA87" s="6">
        <v>0</v>
      </c>
    </row>
    <row r="88" ht="15" spans="1:27">
      <c r="A88" s="6" t="s">
        <v>280</v>
      </c>
      <c r="B88" s="7" t="s">
        <v>29</v>
      </c>
      <c r="C88" s="7" t="s">
        <v>29</v>
      </c>
      <c r="D88" s="7" t="s">
        <v>157</v>
      </c>
      <c r="E88" s="7" t="s">
        <v>370</v>
      </c>
      <c r="F88" s="6">
        <v>0.009910078</v>
      </c>
      <c r="G88" s="6">
        <v>0.0008</v>
      </c>
      <c r="H88" s="6">
        <v>0.003840561</v>
      </c>
      <c r="I88" s="6">
        <v>0.072101351</v>
      </c>
      <c r="J88" s="6">
        <v>0</v>
      </c>
      <c r="K88" s="6">
        <v>0.119638449</v>
      </c>
      <c r="L88" s="6">
        <v>0.001223022</v>
      </c>
      <c r="M88" s="6">
        <v>0.008467664</v>
      </c>
      <c r="N88" s="6">
        <v>0</v>
      </c>
      <c r="O88" s="6">
        <v>0</v>
      </c>
      <c r="P88" s="6">
        <v>0.01485332</v>
      </c>
      <c r="Q88" s="6">
        <v>0.002974629</v>
      </c>
      <c r="R88" s="6">
        <v>0.306886738</v>
      </c>
      <c r="S88" s="6">
        <v>0</v>
      </c>
      <c r="T88" s="6">
        <v>0.005527945</v>
      </c>
      <c r="U88" s="6">
        <v>0.415987596</v>
      </c>
      <c r="V88" s="6">
        <v>0</v>
      </c>
      <c r="W88" s="6">
        <v>0.009672529</v>
      </c>
      <c r="X88" s="6">
        <v>0</v>
      </c>
      <c r="Y88" s="6">
        <v>0.024219276</v>
      </c>
      <c r="Z88" s="6">
        <v>0.003943841</v>
      </c>
      <c r="AA88" s="6">
        <v>0</v>
      </c>
    </row>
    <row r="89" ht="15" hidden="1" spans="1:27">
      <c r="A89" s="6" t="s">
        <v>292</v>
      </c>
      <c r="B89" s="7" t="s">
        <v>344</v>
      </c>
      <c r="C89" s="7" t="s">
        <v>344</v>
      </c>
      <c r="D89" s="7" t="s">
        <v>157</v>
      </c>
      <c r="E89" s="7" t="s">
        <v>370</v>
      </c>
      <c r="F89" s="6">
        <v>0.028551516</v>
      </c>
      <c r="G89" s="6">
        <v>0</v>
      </c>
      <c r="H89" s="6">
        <v>0</v>
      </c>
      <c r="I89" s="6">
        <v>0</v>
      </c>
      <c r="J89" s="6">
        <v>0.00603558</v>
      </c>
      <c r="K89" s="6">
        <v>0.149993198</v>
      </c>
      <c r="L89" s="6">
        <v>0</v>
      </c>
      <c r="M89" s="6">
        <v>0</v>
      </c>
      <c r="N89" s="6">
        <v>0</v>
      </c>
      <c r="O89" s="6">
        <v>0</v>
      </c>
      <c r="P89" s="6">
        <v>0.070869753</v>
      </c>
      <c r="Q89" s="6">
        <v>0</v>
      </c>
      <c r="R89" s="6">
        <v>0.194794862</v>
      </c>
      <c r="S89" s="6">
        <v>0</v>
      </c>
      <c r="T89" s="6">
        <v>0</v>
      </c>
      <c r="U89" s="6">
        <v>0.54558083</v>
      </c>
      <c r="V89" s="6">
        <v>0</v>
      </c>
      <c r="W89" s="6">
        <v>0.00417426</v>
      </c>
      <c r="X89" s="6">
        <v>0</v>
      </c>
      <c r="Y89" s="6">
        <v>0</v>
      </c>
      <c r="Z89" s="6">
        <v>0</v>
      </c>
      <c r="AA89" s="6">
        <v>0</v>
      </c>
    </row>
    <row r="90" ht="15" hidden="1" spans="1:27">
      <c r="A90" s="6" t="s">
        <v>128</v>
      </c>
      <c r="B90" s="7" t="s">
        <v>344</v>
      </c>
      <c r="C90" s="7" t="s">
        <v>341</v>
      </c>
      <c r="D90" s="7" t="s">
        <v>55</v>
      </c>
      <c r="E90" s="7" t="s">
        <v>370</v>
      </c>
      <c r="F90" s="6">
        <v>0.004496608</v>
      </c>
      <c r="G90" s="6">
        <v>0</v>
      </c>
      <c r="H90" s="6">
        <v>0</v>
      </c>
      <c r="I90" s="6">
        <v>0.006651369</v>
      </c>
      <c r="J90" s="6">
        <v>0</v>
      </c>
      <c r="K90" s="6">
        <v>0.041985554</v>
      </c>
      <c r="L90" s="6">
        <v>0</v>
      </c>
      <c r="M90" s="6">
        <v>0.030119721</v>
      </c>
      <c r="N90" s="6">
        <v>0.004695175</v>
      </c>
      <c r="O90" s="6">
        <v>0</v>
      </c>
      <c r="P90" s="6">
        <v>0.013421459</v>
      </c>
      <c r="Q90" s="6">
        <v>0.022383477</v>
      </c>
      <c r="R90" s="6">
        <v>0</v>
      </c>
      <c r="S90" s="6">
        <v>0.275948839</v>
      </c>
      <c r="T90" s="6">
        <v>0.018721062</v>
      </c>
      <c r="U90" s="6">
        <v>0.523236119</v>
      </c>
      <c r="V90" s="6">
        <v>0</v>
      </c>
      <c r="W90" s="6">
        <v>0</v>
      </c>
      <c r="X90" s="6">
        <v>0.058316995</v>
      </c>
      <c r="Y90" s="6">
        <v>0</v>
      </c>
      <c r="Z90" s="6">
        <v>0</v>
      </c>
      <c r="AA90" s="6">
        <v>0</v>
      </c>
    </row>
    <row r="91" ht="15" hidden="1" spans="1:27">
      <c r="A91" s="6" t="s">
        <v>302</v>
      </c>
      <c r="B91" s="7" t="s">
        <v>29</v>
      </c>
      <c r="C91" s="7" t="s">
        <v>341</v>
      </c>
      <c r="D91" s="7" t="s">
        <v>157</v>
      </c>
      <c r="E91" s="7" t="s">
        <v>370</v>
      </c>
      <c r="F91" s="6">
        <v>0.079003391</v>
      </c>
      <c r="G91" s="6">
        <v>0</v>
      </c>
      <c r="H91" s="6">
        <v>0.002483981</v>
      </c>
      <c r="I91" s="6">
        <v>0.001817554</v>
      </c>
      <c r="J91" s="6">
        <v>0</v>
      </c>
      <c r="K91" s="6">
        <v>0.149174849</v>
      </c>
      <c r="L91" s="6">
        <v>0</v>
      </c>
      <c r="M91" s="6">
        <v>0</v>
      </c>
      <c r="N91" s="6">
        <v>0</v>
      </c>
      <c r="O91" s="6">
        <v>0</v>
      </c>
      <c r="P91" s="6">
        <v>0.018523108</v>
      </c>
      <c r="Q91" s="6">
        <v>0</v>
      </c>
      <c r="R91" s="6">
        <v>0.196481785</v>
      </c>
      <c r="S91" s="6">
        <v>0</v>
      </c>
      <c r="T91" s="6">
        <v>0.017100503</v>
      </c>
      <c r="U91" s="6">
        <v>0.53053883</v>
      </c>
      <c r="V91" s="6">
        <v>0</v>
      </c>
      <c r="W91" s="6">
        <v>0.00424619</v>
      </c>
      <c r="X91" s="6">
        <v>0</v>
      </c>
      <c r="Y91" s="6">
        <v>0</v>
      </c>
      <c r="Z91" s="6">
        <v>0.0006</v>
      </c>
      <c r="AA91" s="6">
        <v>0</v>
      </c>
    </row>
    <row r="92" ht="15" hidden="1" spans="1:27">
      <c r="A92" s="6" t="s">
        <v>170</v>
      </c>
      <c r="B92" s="7" t="s">
        <v>344</v>
      </c>
      <c r="C92" s="7" t="s">
        <v>341</v>
      </c>
      <c r="D92" s="7" t="s">
        <v>55</v>
      </c>
      <c r="E92" s="7" t="s">
        <v>370</v>
      </c>
      <c r="F92" s="6">
        <v>0.058691696</v>
      </c>
      <c r="G92" s="6">
        <v>0</v>
      </c>
      <c r="H92" s="6">
        <v>0</v>
      </c>
      <c r="I92" s="6">
        <v>0.116303456</v>
      </c>
      <c r="J92" s="6">
        <v>0</v>
      </c>
      <c r="K92" s="6">
        <v>0.063624392</v>
      </c>
      <c r="L92" s="6">
        <v>0</v>
      </c>
      <c r="M92" s="6">
        <v>0.011990799</v>
      </c>
      <c r="N92" s="6">
        <v>0</v>
      </c>
      <c r="O92" s="6">
        <v>0</v>
      </c>
      <c r="P92" s="6">
        <v>0</v>
      </c>
      <c r="Q92" s="6">
        <v>0.061642179</v>
      </c>
      <c r="R92" s="6">
        <v>0.05854744</v>
      </c>
      <c r="S92" s="6">
        <v>0</v>
      </c>
      <c r="T92" s="6">
        <v>0.104252851</v>
      </c>
      <c r="U92" s="6">
        <v>0.398945772</v>
      </c>
      <c r="V92" s="6">
        <v>0.00168591</v>
      </c>
      <c r="W92" s="6">
        <v>0</v>
      </c>
      <c r="X92" s="6">
        <v>0.124315504</v>
      </c>
      <c r="Y92" s="6">
        <v>0</v>
      </c>
      <c r="Z92" s="6">
        <v>0</v>
      </c>
      <c r="AA92" s="6">
        <v>0</v>
      </c>
    </row>
    <row r="93" ht="15" hidden="1" spans="1:27">
      <c r="A93" s="6" t="s">
        <v>371</v>
      </c>
      <c r="B93" s="5" t="s">
        <v>344</v>
      </c>
      <c r="C93" s="5" t="s">
        <v>341</v>
      </c>
      <c r="D93" s="5" t="s">
        <v>55</v>
      </c>
      <c r="E93" s="7" t="s">
        <v>370</v>
      </c>
      <c r="F93" s="6">
        <v>0.031094895</v>
      </c>
      <c r="G93" s="6">
        <v>0.010078471</v>
      </c>
      <c r="H93" s="6">
        <v>0.082247849</v>
      </c>
      <c r="I93" s="6">
        <v>0.030582027</v>
      </c>
      <c r="J93" s="6">
        <v>0.013113359</v>
      </c>
      <c r="K93" s="6">
        <v>0.07163348</v>
      </c>
      <c r="L93" s="6">
        <v>0.0002</v>
      </c>
      <c r="M93" s="6">
        <v>0</v>
      </c>
      <c r="N93" s="6">
        <v>0.001971421</v>
      </c>
      <c r="O93" s="6">
        <v>0</v>
      </c>
      <c r="P93" s="6">
        <v>0</v>
      </c>
      <c r="Q93" s="6">
        <v>0.016973327</v>
      </c>
      <c r="R93" s="6">
        <v>0.022458283</v>
      </c>
      <c r="S93" s="6">
        <v>0.120038918</v>
      </c>
      <c r="T93" s="6">
        <v>0.0890784</v>
      </c>
      <c r="U93" s="6">
        <v>0.481788255</v>
      </c>
      <c r="V93" s="6">
        <v>0.010940461</v>
      </c>
      <c r="W93" s="6">
        <v>0</v>
      </c>
      <c r="X93" s="6">
        <v>0.017767026</v>
      </c>
      <c r="Y93" s="6">
        <v>0</v>
      </c>
      <c r="Z93" s="6">
        <v>0</v>
      </c>
      <c r="AA93" s="6">
        <v>0</v>
      </c>
    </row>
    <row r="94" ht="15" hidden="1" spans="1:27">
      <c r="A94" s="6" t="s">
        <v>85</v>
      </c>
      <c r="B94" s="7" t="s">
        <v>341</v>
      </c>
      <c r="C94" s="7" t="s">
        <v>344</v>
      </c>
      <c r="D94" s="7" t="s">
        <v>31</v>
      </c>
      <c r="E94" s="7" t="s">
        <v>370</v>
      </c>
      <c r="F94" s="6">
        <v>0.178892521</v>
      </c>
      <c r="G94" s="6">
        <v>0</v>
      </c>
      <c r="H94" s="6">
        <v>0</v>
      </c>
      <c r="I94" s="6">
        <v>0.053345647</v>
      </c>
      <c r="J94" s="6">
        <v>0</v>
      </c>
      <c r="K94" s="6">
        <v>0.127619364</v>
      </c>
      <c r="L94" s="6">
        <v>0</v>
      </c>
      <c r="M94" s="6">
        <v>0.017099064</v>
      </c>
      <c r="N94" s="6">
        <v>0</v>
      </c>
      <c r="O94" s="6">
        <v>0</v>
      </c>
      <c r="P94" s="6">
        <v>0</v>
      </c>
      <c r="Q94" s="6">
        <v>0.068690504</v>
      </c>
      <c r="R94" s="6">
        <v>0.039352098</v>
      </c>
      <c r="S94" s="6">
        <v>0</v>
      </c>
      <c r="T94" s="6">
        <v>0.043284519</v>
      </c>
      <c r="U94" s="6">
        <v>0.381577495</v>
      </c>
      <c r="V94" s="6">
        <v>0</v>
      </c>
      <c r="W94" s="6">
        <v>0</v>
      </c>
      <c r="X94" s="6">
        <v>0.090138788</v>
      </c>
      <c r="Y94" s="6">
        <v>0</v>
      </c>
      <c r="Z94" s="6">
        <v>0</v>
      </c>
      <c r="AA94" s="6">
        <v>0</v>
      </c>
    </row>
    <row r="95" ht="15" hidden="1" spans="1:27">
      <c r="A95" s="6" t="s">
        <v>42</v>
      </c>
      <c r="B95" s="7" t="s">
        <v>344</v>
      </c>
      <c r="C95" s="7" t="s">
        <v>344</v>
      </c>
      <c r="D95" s="7" t="s">
        <v>18</v>
      </c>
      <c r="E95" s="7" t="s">
        <v>370</v>
      </c>
      <c r="F95" s="6">
        <v>0</v>
      </c>
      <c r="G95" s="6">
        <v>0</v>
      </c>
      <c r="H95" s="6">
        <v>0</v>
      </c>
      <c r="I95" s="6">
        <v>0.009988249</v>
      </c>
      <c r="J95" s="6">
        <v>0</v>
      </c>
      <c r="K95" s="6">
        <v>0.161792977</v>
      </c>
      <c r="L95" s="6">
        <v>0</v>
      </c>
      <c r="M95" s="6">
        <v>0</v>
      </c>
      <c r="N95" s="6">
        <v>0</v>
      </c>
      <c r="O95" s="6">
        <v>0</v>
      </c>
      <c r="P95" s="6">
        <v>0.01688688</v>
      </c>
      <c r="Q95" s="6">
        <v>0</v>
      </c>
      <c r="R95" s="6">
        <v>0.061686554</v>
      </c>
      <c r="S95" s="6">
        <v>0</v>
      </c>
      <c r="T95" s="6">
        <v>0</v>
      </c>
      <c r="U95" s="6">
        <v>0.632673596</v>
      </c>
      <c r="V95" s="6">
        <v>0</v>
      </c>
      <c r="W95" s="6">
        <v>0.036636975</v>
      </c>
      <c r="X95" s="6">
        <v>0.08033477</v>
      </c>
      <c r="Y95" s="6">
        <v>0</v>
      </c>
      <c r="Z95" s="6">
        <v>0</v>
      </c>
      <c r="AA95" s="6">
        <v>0</v>
      </c>
    </row>
    <row r="96" ht="15" hidden="1" spans="1:27">
      <c r="A96" s="6" t="s">
        <v>237</v>
      </c>
      <c r="B96" s="7" t="s">
        <v>341</v>
      </c>
      <c r="C96" s="7" t="s">
        <v>344</v>
      </c>
      <c r="D96" s="7" t="s">
        <v>18</v>
      </c>
      <c r="E96" s="7" t="s">
        <v>370</v>
      </c>
      <c r="F96" s="6">
        <v>0.085339788</v>
      </c>
      <c r="G96" s="6">
        <v>0</v>
      </c>
      <c r="H96" s="6">
        <v>0.028930787</v>
      </c>
      <c r="I96" s="6">
        <v>0.039256608</v>
      </c>
      <c r="J96" s="6">
        <v>0</v>
      </c>
      <c r="K96" s="6">
        <v>0.257520462</v>
      </c>
      <c r="L96" s="6">
        <v>0</v>
      </c>
      <c r="M96" s="6">
        <v>0</v>
      </c>
      <c r="N96" s="6">
        <v>0</v>
      </c>
      <c r="O96" s="6">
        <v>0</v>
      </c>
      <c r="P96" s="6">
        <v>0.032513843</v>
      </c>
      <c r="Q96" s="6">
        <v>0</v>
      </c>
      <c r="R96" s="6">
        <v>0.104130911</v>
      </c>
      <c r="S96" s="6">
        <v>0</v>
      </c>
      <c r="T96" s="6">
        <v>0</v>
      </c>
      <c r="U96" s="6">
        <v>0.374525706</v>
      </c>
      <c r="V96" s="6">
        <v>0</v>
      </c>
      <c r="W96" s="6">
        <v>0.016898793</v>
      </c>
      <c r="X96" s="6">
        <v>0.060241896</v>
      </c>
      <c r="Y96" s="6">
        <v>0</v>
      </c>
      <c r="Z96" s="6">
        <v>0.0006</v>
      </c>
      <c r="AA96" s="6">
        <v>0</v>
      </c>
    </row>
    <row r="97" ht="15" hidden="1" spans="1:27">
      <c r="A97" s="6" t="s">
        <v>233</v>
      </c>
      <c r="B97" s="7" t="s">
        <v>344</v>
      </c>
      <c r="C97" s="7" t="s">
        <v>344</v>
      </c>
      <c r="D97" s="7" t="s">
        <v>55</v>
      </c>
      <c r="E97" s="7" t="s">
        <v>370</v>
      </c>
      <c r="F97" s="6">
        <v>0.011597233</v>
      </c>
      <c r="G97" s="6">
        <v>0</v>
      </c>
      <c r="H97" s="6">
        <v>0</v>
      </c>
      <c r="I97" s="6">
        <v>0.080506254</v>
      </c>
      <c r="J97" s="6">
        <v>0</v>
      </c>
      <c r="K97" s="6">
        <v>0.208526249</v>
      </c>
      <c r="L97" s="6">
        <v>0.038955599</v>
      </c>
      <c r="M97" s="6">
        <v>0.052259913</v>
      </c>
      <c r="N97" s="6">
        <v>0</v>
      </c>
      <c r="O97" s="6">
        <v>0</v>
      </c>
      <c r="P97" s="6">
        <v>0</v>
      </c>
      <c r="Q97" s="6">
        <v>0.061643214</v>
      </c>
      <c r="R97" s="6">
        <v>0.057183667</v>
      </c>
      <c r="S97" s="6">
        <v>0</v>
      </c>
      <c r="T97" s="6">
        <v>0.091617398</v>
      </c>
      <c r="U97" s="6">
        <v>0.367618651</v>
      </c>
      <c r="V97" s="6">
        <v>0.003512782</v>
      </c>
      <c r="W97" s="6">
        <v>0</v>
      </c>
      <c r="X97" s="6">
        <v>0.016142174</v>
      </c>
      <c r="Y97" s="6">
        <v>0</v>
      </c>
      <c r="Z97" s="6">
        <v>0.010436865</v>
      </c>
      <c r="AA97" s="6">
        <v>0</v>
      </c>
    </row>
    <row r="98" ht="15" hidden="1" spans="1:27">
      <c r="A98" s="6" t="s">
        <v>136</v>
      </c>
      <c r="B98" s="7" t="s">
        <v>344</v>
      </c>
      <c r="C98" s="7" t="s">
        <v>29</v>
      </c>
      <c r="D98" s="7" t="s">
        <v>18</v>
      </c>
      <c r="E98" s="7" t="s">
        <v>370</v>
      </c>
      <c r="F98" s="6">
        <v>0.070871939</v>
      </c>
      <c r="G98" s="6">
        <v>0</v>
      </c>
      <c r="H98" s="6">
        <v>0</v>
      </c>
      <c r="I98" s="6">
        <v>0</v>
      </c>
      <c r="J98" s="6">
        <v>0</v>
      </c>
      <c r="K98" s="6">
        <v>0.333152099</v>
      </c>
      <c r="L98" s="6">
        <v>0</v>
      </c>
      <c r="M98" s="6">
        <v>0.036813693</v>
      </c>
      <c r="N98" s="6">
        <v>0.031465033</v>
      </c>
      <c r="O98" s="6">
        <v>0</v>
      </c>
      <c r="P98" s="6">
        <v>0</v>
      </c>
      <c r="Q98" s="6">
        <v>0.085094581</v>
      </c>
      <c r="R98" s="6">
        <v>0.044125811</v>
      </c>
      <c r="S98" s="6">
        <v>0</v>
      </c>
      <c r="T98" s="6">
        <v>0</v>
      </c>
      <c r="U98" s="6">
        <v>0.369106692</v>
      </c>
      <c r="V98" s="6">
        <v>0</v>
      </c>
      <c r="W98" s="6">
        <v>0.013837113</v>
      </c>
      <c r="X98" s="6">
        <v>0.015533039</v>
      </c>
      <c r="Y98" s="6">
        <v>0</v>
      </c>
      <c r="Z98" s="6">
        <v>0</v>
      </c>
      <c r="AA98" s="6">
        <v>0</v>
      </c>
    </row>
    <row r="99" ht="15" hidden="1" spans="1:27">
      <c r="A99" s="6" t="s">
        <v>251</v>
      </c>
      <c r="B99" s="7" t="s">
        <v>341</v>
      </c>
      <c r="C99" s="7" t="s">
        <v>341</v>
      </c>
      <c r="D99" s="7" t="s">
        <v>51</v>
      </c>
      <c r="E99" s="7" t="s">
        <v>370</v>
      </c>
      <c r="F99" s="6">
        <v>0</v>
      </c>
      <c r="G99" s="6">
        <v>0.018227055</v>
      </c>
      <c r="H99" s="6">
        <v>0.016417957</v>
      </c>
      <c r="I99" s="6">
        <v>0.029014874</v>
      </c>
      <c r="J99" s="6">
        <v>0</v>
      </c>
      <c r="K99" s="6">
        <v>0.018894541</v>
      </c>
      <c r="L99" s="6">
        <v>0</v>
      </c>
      <c r="M99" s="6">
        <v>0</v>
      </c>
      <c r="N99" s="6">
        <v>0.032999861</v>
      </c>
      <c r="O99" s="6">
        <v>0</v>
      </c>
      <c r="P99" s="6">
        <v>0.030651745</v>
      </c>
      <c r="Q99" s="6">
        <v>0</v>
      </c>
      <c r="R99" s="6">
        <v>0.021782875</v>
      </c>
      <c r="S99" s="6">
        <v>0.068580408</v>
      </c>
      <c r="T99" s="6">
        <v>0.021792718</v>
      </c>
      <c r="U99" s="6">
        <v>0.670531699</v>
      </c>
      <c r="V99" s="6">
        <v>0</v>
      </c>
      <c r="W99" s="6">
        <v>0</v>
      </c>
      <c r="X99" s="6">
        <v>0.060718535</v>
      </c>
      <c r="Y99" s="6">
        <v>0.009277886</v>
      </c>
      <c r="Z99" s="6">
        <v>0</v>
      </c>
      <c r="AA99" s="6">
        <v>0.001109845</v>
      </c>
    </row>
    <row r="100" ht="15" hidden="1" spans="1:27">
      <c r="A100" s="6" t="s">
        <v>179</v>
      </c>
      <c r="B100" s="7" t="s">
        <v>344</v>
      </c>
      <c r="C100" s="7" t="s">
        <v>341</v>
      </c>
      <c r="D100" s="7" t="s">
        <v>18</v>
      </c>
      <c r="E100" s="7" t="s">
        <v>370</v>
      </c>
      <c r="F100" s="6">
        <v>0.032154924</v>
      </c>
      <c r="G100" s="6">
        <v>0</v>
      </c>
      <c r="H100" s="6">
        <v>0</v>
      </c>
      <c r="I100" s="6">
        <v>0.116717011</v>
      </c>
      <c r="J100" s="6">
        <v>0</v>
      </c>
      <c r="K100" s="6">
        <v>0.105272816</v>
      </c>
      <c r="L100" s="6">
        <v>0.109550429</v>
      </c>
      <c r="M100" s="6">
        <v>0.010877602</v>
      </c>
      <c r="N100" s="6">
        <v>0.012436512</v>
      </c>
      <c r="O100" s="6">
        <v>0</v>
      </c>
      <c r="P100" s="6">
        <v>0</v>
      </c>
      <c r="Q100" s="6">
        <v>0.05841841</v>
      </c>
      <c r="R100" s="6">
        <v>0.001750809</v>
      </c>
      <c r="S100" s="6">
        <v>0.137320991</v>
      </c>
      <c r="T100" s="6">
        <v>0.041500171</v>
      </c>
      <c r="U100" s="6">
        <v>0.342726154</v>
      </c>
      <c r="V100" s="6">
        <v>0</v>
      </c>
      <c r="W100" s="6">
        <v>0</v>
      </c>
      <c r="X100" s="6">
        <v>0</v>
      </c>
      <c r="Y100" s="6">
        <v>0.031274172</v>
      </c>
      <c r="Z100" s="6">
        <v>0</v>
      </c>
      <c r="AA100" s="6">
        <v>0</v>
      </c>
    </row>
    <row r="101" ht="15" hidden="1" spans="1:27">
      <c r="A101" s="6" t="s">
        <v>103</v>
      </c>
      <c r="B101" s="7" t="s">
        <v>29</v>
      </c>
      <c r="C101" s="7" t="s">
        <v>341</v>
      </c>
      <c r="D101" s="7" t="s">
        <v>51</v>
      </c>
      <c r="E101" s="7" t="s">
        <v>370</v>
      </c>
      <c r="F101" s="6">
        <v>0.031915489</v>
      </c>
      <c r="G101" s="6">
        <v>0</v>
      </c>
      <c r="H101" s="6">
        <v>0.005519001</v>
      </c>
      <c r="I101" s="6">
        <v>0.076337435</v>
      </c>
      <c r="J101" s="6">
        <v>0</v>
      </c>
      <c r="K101" s="6">
        <v>0.09640072</v>
      </c>
      <c r="L101" s="6">
        <v>0.006928476</v>
      </c>
      <c r="M101" s="6">
        <v>0.031005682</v>
      </c>
      <c r="N101" s="6">
        <v>0</v>
      </c>
      <c r="O101" s="6">
        <v>0</v>
      </c>
      <c r="P101" s="6">
        <v>0</v>
      </c>
      <c r="Q101" s="6">
        <v>0.020643976</v>
      </c>
      <c r="R101" s="6">
        <v>0.078414747</v>
      </c>
      <c r="S101" s="6">
        <v>0</v>
      </c>
      <c r="T101" s="6">
        <v>0.065305429</v>
      </c>
      <c r="U101" s="6">
        <v>0.545107674</v>
      </c>
      <c r="V101" s="6">
        <v>0.0004</v>
      </c>
      <c r="W101" s="6">
        <v>0</v>
      </c>
      <c r="X101" s="6">
        <v>0.0419771</v>
      </c>
      <c r="Y101" s="6">
        <v>0</v>
      </c>
      <c r="Z101" s="6">
        <v>0</v>
      </c>
      <c r="AA101" s="6">
        <v>0</v>
      </c>
    </row>
    <row r="102" ht="15" hidden="1" spans="1:27">
      <c r="A102" s="6" t="s">
        <v>218</v>
      </c>
      <c r="B102" s="7" t="s">
        <v>344</v>
      </c>
      <c r="C102" s="7" t="s">
        <v>341</v>
      </c>
      <c r="D102" s="7" t="s">
        <v>55</v>
      </c>
      <c r="E102" s="7" t="s">
        <v>370</v>
      </c>
      <c r="F102" s="6">
        <v>0</v>
      </c>
      <c r="G102" s="6">
        <v>0.006845361</v>
      </c>
      <c r="H102" s="6">
        <v>0.001798264</v>
      </c>
      <c r="I102" s="6">
        <v>0.018258659</v>
      </c>
      <c r="J102" s="6">
        <v>0</v>
      </c>
      <c r="K102" s="6">
        <v>0.227804778</v>
      </c>
      <c r="L102" s="6">
        <v>0</v>
      </c>
      <c r="M102" s="6">
        <v>0.004919036</v>
      </c>
      <c r="N102" s="6">
        <v>0.019495387</v>
      </c>
      <c r="O102" s="6">
        <v>0</v>
      </c>
      <c r="P102" s="6">
        <v>0.011430925</v>
      </c>
      <c r="Q102" s="6">
        <v>0.021128911</v>
      </c>
      <c r="R102" s="6">
        <v>0.09139811</v>
      </c>
      <c r="S102" s="6">
        <v>0</v>
      </c>
      <c r="T102" s="6">
        <v>0.019252908</v>
      </c>
      <c r="U102" s="6">
        <v>0.552063951</v>
      </c>
      <c r="V102" s="6">
        <v>0</v>
      </c>
      <c r="W102" s="6">
        <v>0.010310404</v>
      </c>
      <c r="X102" s="6">
        <v>0</v>
      </c>
      <c r="Y102" s="6">
        <v>0.015293307</v>
      </c>
      <c r="Z102" s="6">
        <v>0</v>
      </c>
      <c r="AA102" s="6">
        <v>0</v>
      </c>
    </row>
    <row r="103" ht="15" hidden="1" spans="1:27">
      <c r="A103" s="6" t="s">
        <v>50</v>
      </c>
      <c r="B103" s="7" t="s">
        <v>344</v>
      </c>
      <c r="C103" s="7" t="s">
        <v>341</v>
      </c>
      <c r="D103" s="7" t="s">
        <v>51</v>
      </c>
      <c r="E103" s="7" t="s">
        <v>370</v>
      </c>
      <c r="F103" s="6">
        <v>0.082613424</v>
      </c>
      <c r="G103" s="6">
        <v>0</v>
      </c>
      <c r="H103" s="6">
        <v>0</v>
      </c>
      <c r="I103" s="6">
        <v>0.052067359</v>
      </c>
      <c r="J103" s="6">
        <v>0</v>
      </c>
      <c r="K103" s="6">
        <v>0.094400638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0.023086676</v>
      </c>
      <c r="R103" s="6">
        <v>0.058084181</v>
      </c>
      <c r="S103" s="6">
        <v>0</v>
      </c>
      <c r="T103" s="6">
        <v>0.014437435</v>
      </c>
      <c r="U103" s="6">
        <v>0.528510756</v>
      </c>
      <c r="V103" s="6">
        <v>0</v>
      </c>
      <c r="W103" s="6">
        <v>0.017166276</v>
      </c>
      <c r="X103" s="6">
        <v>0.128977735</v>
      </c>
      <c r="Y103" s="6">
        <v>0</v>
      </c>
      <c r="Z103" s="6">
        <v>0.0007</v>
      </c>
      <c r="AA103" s="6">
        <v>0</v>
      </c>
    </row>
    <row r="104" ht="15" spans="1:27">
      <c r="A104" s="6" t="s">
        <v>121</v>
      </c>
      <c r="B104" s="7" t="s">
        <v>29</v>
      </c>
      <c r="C104" s="7" t="s">
        <v>29</v>
      </c>
      <c r="D104" s="7" t="s">
        <v>55</v>
      </c>
      <c r="E104" s="7" t="s">
        <v>370</v>
      </c>
      <c r="F104" s="6">
        <v>0</v>
      </c>
      <c r="G104" s="6">
        <v>0.015953392</v>
      </c>
      <c r="H104" s="6">
        <v>0.002755978</v>
      </c>
      <c r="I104" s="6">
        <v>0</v>
      </c>
      <c r="J104" s="6">
        <v>0</v>
      </c>
      <c r="K104" s="6">
        <v>0.18523428</v>
      </c>
      <c r="L104" s="6">
        <v>0.036119491</v>
      </c>
      <c r="M104" s="6">
        <v>0</v>
      </c>
      <c r="N104" s="6">
        <v>0</v>
      </c>
      <c r="O104" s="6">
        <v>0</v>
      </c>
      <c r="P104" s="6">
        <v>0.04669422</v>
      </c>
      <c r="Q104" s="6">
        <v>0</v>
      </c>
      <c r="R104" s="6">
        <v>0.002925887</v>
      </c>
      <c r="S104" s="6">
        <v>0.030288321</v>
      </c>
      <c r="T104" s="6">
        <v>0</v>
      </c>
      <c r="U104" s="6">
        <v>0.64097862</v>
      </c>
      <c r="V104" s="6">
        <v>0</v>
      </c>
      <c r="W104" s="6">
        <v>0.00964375</v>
      </c>
      <c r="X104" s="6">
        <v>0.02940606</v>
      </c>
      <c r="Y104" s="6">
        <v>0</v>
      </c>
      <c r="Z104" s="6">
        <v>0</v>
      </c>
      <c r="AA104" s="6">
        <v>0</v>
      </c>
    </row>
    <row r="105" ht="15" hidden="1" spans="1:27">
      <c r="A105" s="6" t="s">
        <v>79</v>
      </c>
      <c r="B105" s="7" t="s">
        <v>341</v>
      </c>
      <c r="C105" s="7" t="s">
        <v>344</v>
      </c>
      <c r="D105" s="7" t="s">
        <v>31</v>
      </c>
      <c r="E105" s="7" t="s">
        <v>372</v>
      </c>
      <c r="F105" s="6">
        <v>0</v>
      </c>
      <c r="G105" s="6">
        <v>0.016530393</v>
      </c>
      <c r="H105" s="6">
        <v>0.00316108</v>
      </c>
      <c r="I105" s="6">
        <v>0</v>
      </c>
      <c r="J105" s="6">
        <v>0</v>
      </c>
      <c r="K105" s="6">
        <v>0.082591443</v>
      </c>
      <c r="L105" s="6">
        <v>0.007790558</v>
      </c>
      <c r="M105" s="6">
        <v>0.001745474</v>
      </c>
      <c r="N105" s="6">
        <v>0.0003</v>
      </c>
      <c r="O105" s="6">
        <v>0.005025168</v>
      </c>
      <c r="P105" s="6">
        <v>0.009000347</v>
      </c>
      <c r="Q105" s="6">
        <v>0</v>
      </c>
      <c r="R105" s="6">
        <v>0</v>
      </c>
      <c r="S105" s="6">
        <v>0.367950467</v>
      </c>
      <c r="T105" s="6">
        <v>0.052861179</v>
      </c>
      <c r="U105" s="6">
        <v>0.425307988</v>
      </c>
      <c r="V105" s="6">
        <v>0</v>
      </c>
      <c r="W105" s="6">
        <v>0</v>
      </c>
      <c r="X105" s="6">
        <v>0.027753904</v>
      </c>
      <c r="Y105" s="6">
        <v>0</v>
      </c>
      <c r="Z105" s="6">
        <v>0</v>
      </c>
      <c r="AA105" s="6">
        <v>0</v>
      </c>
    </row>
    <row r="106" ht="15" spans="1:27">
      <c r="A106" s="6" t="s">
        <v>207</v>
      </c>
      <c r="B106" s="7" t="s">
        <v>29</v>
      </c>
      <c r="C106" s="7" t="s">
        <v>29</v>
      </c>
      <c r="D106" s="7" t="s">
        <v>31</v>
      </c>
      <c r="E106" s="7" t="s">
        <v>372</v>
      </c>
      <c r="F106" s="6">
        <v>0.12686313</v>
      </c>
      <c r="G106" s="6">
        <v>0</v>
      </c>
      <c r="H106" s="6">
        <v>0</v>
      </c>
      <c r="I106" s="6">
        <v>0</v>
      </c>
      <c r="J106" s="6">
        <v>0</v>
      </c>
      <c r="K106" s="6">
        <v>0.251113658</v>
      </c>
      <c r="L106" s="6">
        <v>0</v>
      </c>
      <c r="M106" s="6">
        <v>0.009987719</v>
      </c>
      <c r="N106" s="6">
        <v>0.005510194</v>
      </c>
      <c r="O106" s="6">
        <v>0</v>
      </c>
      <c r="P106" s="6">
        <v>0.066073023</v>
      </c>
      <c r="Q106" s="6">
        <v>0.009464581</v>
      </c>
      <c r="R106" s="6">
        <v>0</v>
      </c>
      <c r="S106" s="6">
        <v>0.320483988</v>
      </c>
      <c r="T106" s="6">
        <v>0.002415107</v>
      </c>
      <c r="U106" s="6">
        <v>0.184352449</v>
      </c>
      <c r="V106" s="6">
        <v>0</v>
      </c>
      <c r="W106" s="6">
        <v>0</v>
      </c>
      <c r="X106" s="6">
        <v>0.02373615</v>
      </c>
      <c r="Y106" s="6">
        <v>0</v>
      </c>
      <c r="Z106" s="6">
        <v>0</v>
      </c>
      <c r="AA106" s="6">
        <v>0</v>
      </c>
    </row>
    <row r="107" ht="15" hidden="1" spans="1:27">
      <c r="A107" s="6" t="s">
        <v>139</v>
      </c>
      <c r="B107" s="7" t="s">
        <v>344</v>
      </c>
      <c r="C107" s="7" t="s">
        <v>344</v>
      </c>
      <c r="D107" s="7" t="s">
        <v>31</v>
      </c>
      <c r="E107" s="7" t="s">
        <v>372</v>
      </c>
      <c r="F107" s="6">
        <v>0.093096384</v>
      </c>
      <c r="G107" s="6">
        <v>0</v>
      </c>
      <c r="H107" s="6">
        <v>0</v>
      </c>
      <c r="I107" s="6">
        <v>0</v>
      </c>
      <c r="J107" s="6">
        <v>0</v>
      </c>
      <c r="K107" s="6">
        <v>0.14798417</v>
      </c>
      <c r="L107" s="6">
        <v>0</v>
      </c>
      <c r="M107" s="6">
        <v>0</v>
      </c>
      <c r="N107" s="6">
        <v>0.017557264</v>
      </c>
      <c r="O107" s="6">
        <v>0.005207574</v>
      </c>
      <c r="P107" s="6">
        <v>0.005144017</v>
      </c>
      <c r="Q107" s="6">
        <v>0.004984171</v>
      </c>
      <c r="R107" s="6">
        <v>0</v>
      </c>
      <c r="S107" s="6">
        <v>0.261455303</v>
      </c>
      <c r="T107" s="6">
        <v>0.028520095</v>
      </c>
      <c r="U107" s="6">
        <v>0.398882824</v>
      </c>
      <c r="V107" s="6">
        <v>0</v>
      </c>
      <c r="W107" s="6">
        <v>0.005249573</v>
      </c>
      <c r="X107" s="6">
        <v>0.031894697</v>
      </c>
      <c r="Y107" s="6">
        <v>0</v>
      </c>
      <c r="Z107" s="6">
        <v>0</v>
      </c>
      <c r="AA107" s="6">
        <v>0</v>
      </c>
    </row>
    <row r="108" ht="15" spans="1:27">
      <c r="A108" s="6" t="s">
        <v>241</v>
      </c>
      <c r="B108" s="7" t="s">
        <v>29</v>
      </c>
      <c r="C108" s="7" t="s">
        <v>29</v>
      </c>
      <c r="D108" s="7" t="s">
        <v>18</v>
      </c>
      <c r="E108" s="7" t="s">
        <v>372</v>
      </c>
      <c r="F108" s="6">
        <v>0.041753877</v>
      </c>
      <c r="G108" s="6">
        <v>0</v>
      </c>
      <c r="H108" s="6">
        <v>0.001233888</v>
      </c>
      <c r="I108" s="6">
        <v>0.002711164</v>
      </c>
      <c r="J108" s="6">
        <v>0</v>
      </c>
      <c r="K108" s="6">
        <v>0.017292362</v>
      </c>
      <c r="L108" s="6">
        <v>0.002629058</v>
      </c>
      <c r="M108" s="6">
        <v>0.03129658</v>
      </c>
      <c r="N108" s="6">
        <v>0.021952681</v>
      </c>
      <c r="O108" s="6">
        <v>0</v>
      </c>
      <c r="P108" s="6">
        <v>0</v>
      </c>
      <c r="Q108" s="6">
        <v>0.011256101</v>
      </c>
      <c r="R108" s="6">
        <v>0</v>
      </c>
      <c r="S108" s="6">
        <v>0.478744852</v>
      </c>
      <c r="T108" s="6">
        <v>0.048099155</v>
      </c>
      <c r="U108" s="6">
        <v>0.284414523</v>
      </c>
      <c r="V108" s="6">
        <v>0</v>
      </c>
      <c r="W108" s="6">
        <v>0</v>
      </c>
      <c r="X108" s="6">
        <v>0.05861576</v>
      </c>
      <c r="Y108" s="6">
        <v>0</v>
      </c>
      <c r="Z108" s="6">
        <v>0</v>
      </c>
      <c r="AA108" s="6">
        <v>0</v>
      </c>
    </row>
    <row r="109" ht="15" hidden="1" spans="1:27">
      <c r="A109" s="6" t="s">
        <v>95</v>
      </c>
      <c r="B109" s="7" t="s">
        <v>344</v>
      </c>
      <c r="C109" s="7" t="s">
        <v>341</v>
      </c>
      <c r="D109" s="7" t="s">
        <v>18</v>
      </c>
      <c r="E109" s="7" t="s">
        <v>372</v>
      </c>
      <c r="F109" s="6">
        <v>0.017028725</v>
      </c>
      <c r="G109" s="6">
        <v>0</v>
      </c>
      <c r="H109" s="6">
        <v>0</v>
      </c>
      <c r="I109" s="6">
        <v>0</v>
      </c>
      <c r="J109" s="6">
        <v>0</v>
      </c>
      <c r="K109" s="6">
        <v>0.298715527</v>
      </c>
      <c r="L109" s="6">
        <v>0</v>
      </c>
      <c r="M109" s="6">
        <v>0</v>
      </c>
      <c r="N109" s="6">
        <v>0</v>
      </c>
      <c r="O109" s="6">
        <v>0</v>
      </c>
      <c r="P109" s="6">
        <v>0.030288659</v>
      </c>
      <c r="Q109" s="6">
        <v>0.035204171</v>
      </c>
      <c r="R109" s="6">
        <v>0.008459844</v>
      </c>
      <c r="S109" s="6">
        <v>0.284895095</v>
      </c>
      <c r="T109" s="6">
        <v>0</v>
      </c>
      <c r="U109" s="6">
        <v>0.268873414</v>
      </c>
      <c r="V109" s="6">
        <v>0</v>
      </c>
      <c r="W109" s="6">
        <v>0.003635672</v>
      </c>
      <c r="X109" s="6">
        <v>0.052898893</v>
      </c>
      <c r="Y109" s="6">
        <v>0</v>
      </c>
      <c r="Z109" s="6">
        <v>0</v>
      </c>
      <c r="AA109" s="6">
        <v>0</v>
      </c>
    </row>
    <row r="110" ht="15" hidden="1" spans="1:27">
      <c r="A110" s="6" t="s">
        <v>286</v>
      </c>
      <c r="B110" s="7" t="s">
        <v>341</v>
      </c>
      <c r="C110" s="7" t="s">
        <v>341</v>
      </c>
      <c r="D110" s="7" t="s">
        <v>31</v>
      </c>
      <c r="E110" s="7" t="s">
        <v>372</v>
      </c>
      <c r="F110" s="6">
        <v>0.060519349</v>
      </c>
      <c r="G110" s="6">
        <v>0</v>
      </c>
      <c r="H110" s="6">
        <v>0</v>
      </c>
      <c r="I110" s="6">
        <v>0.00717374</v>
      </c>
      <c r="J110" s="6">
        <v>0</v>
      </c>
      <c r="K110" s="6">
        <v>0.237723478</v>
      </c>
      <c r="L110" s="6">
        <v>0.010762549</v>
      </c>
      <c r="M110" s="6">
        <v>0</v>
      </c>
      <c r="N110" s="6">
        <v>0</v>
      </c>
      <c r="O110" s="6">
        <v>0</v>
      </c>
      <c r="P110" s="6">
        <v>0.021404787</v>
      </c>
      <c r="Q110" s="6">
        <v>0</v>
      </c>
      <c r="R110" s="6">
        <v>0</v>
      </c>
      <c r="S110" s="6">
        <v>0.27546607</v>
      </c>
      <c r="T110" s="6">
        <v>0.059473062</v>
      </c>
      <c r="U110" s="6">
        <v>0.236292574</v>
      </c>
      <c r="V110" s="6">
        <v>0</v>
      </c>
      <c r="W110" s="6">
        <v>0</v>
      </c>
      <c r="X110" s="6">
        <v>0.091184392</v>
      </c>
      <c r="Y110" s="6">
        <v>0</v>
      </c>
      <c r="Z110" s="6">
        <v>0</v>
      </c>
      <c r="AA110" s="6">
        <v>0</v>
      </c>
    </row>
    <row r="111" ht="15" hidden="1" spans="1:27">
      <c r="A111" s="6" t="s">
        <v>93</v>
      </c>
      <c r="B111" s="7" t="s">
        <v>341</v>
      </c>
      <c r="C111" s="7" t="s">
        <v>341</v>
      </c>
      <c r="D111" s="7" t="s">
        <v>51</v>
      </c>
      <c r="E111" s="7" t="s">
        <v>372</v>
      </c>
      <c r="F111" s="6">
        <v>0.309234342</v>
      </c>
      <c r="G111" s="6">
        <v>0</v>
      </c>
      <c r="H111" s="6">
        <v>0</v>
      </c>
      <c r="I111" s="6">
        <v>0.017273145</v>
      </c>
      <c r="J111" s="6">
        <v>0</v>
      </c>
      <c r="K111" s="6">
        <v>0.118900827</v>
      </c>
      <c r="L111" s="6">
        <v>0</v>
      </c>
      <c r="M111" s="6">
        <v>0.003095073</v>
      </c>
      <c r="N111" s="6">
        <v>0.014168203</v>
      </c>
      <c r="O111" s="6">
        <v>0</v>
      </c>
      <c r="P111" s="6">
        <v>0.012646886</v>
      </c>
      <c r="Q111" s="6">
        <v>0.019307988</v>
      </c>
      <c r="R111" s="6">
        <v>0.028551487</v>
      </c>
      <c r="S111" s="6">
        <v>0.325917323</v>
      </c>
      <c r="T111" s="6">
        <v>0.002517194</v>
      </c>
      <c r="U111" s="6">
        <v>0.112026877</v>
      </c>
      <c r="V111" s="6">
        <v>0</v>
      </c>
      <c r="W111" s="6">
        <v>0</v>
      </c>
      <c r="X111" s="6">
        <v>0.036360655</v>
      </c>
      <c r="Y111" s="6">
        <v>0</v>
      </c>
      <c r="Z111" s="6">
        <v>0</v>
      </c>
      <c r="AA111" s="6">
        <v>0</v>
      </c>
    </row>
    <row r="112" ht="15" hidden="1" spans="1:27">
      <c r="A112" s="6" t="s">
        <v>212</v>
      </c>
      <c r="B112" s="7" t="s">
        <v>344</v>
      </c>
      <c r="C112" s="7" t="s">
        <v>344</v>
      </c>
      <c r="D112" s="7" t="s">
        <v>55</v>
      </c>
      <c r="E112" s="7" t="s">
        <v>372</v>
      </c>
      <c r="F112" s="6">
        <v>0.004471822</v>
      </c>
      <c r="G112" s="6">
        <v>0.001412193</v>
      </c>
      <c r="H112" s="6">
        <v>0</v>
      </c>
      <c r="I112" s="6">
        <v>0</v>
      </c>
      <c r="J112" s="6">
        <v>0</v>
      </c>
      <c r="K112" s="6">
        <v>0.178634934</v>
      </c>
      <c r="L112" s="6">
        <v>0</v>
      </c>
      <c r="M112" s="6">
        <v>0.00928165</v>
      </c>
      <c r="N112" s="6">
        <v>0.043369833</v>
      </c>
      <c r="O112" s="6">
        <v>0</v>
      </c>
      <c r="P112" s="6">
        <v>0.092746459</v>
      </c>
      <c r="Q112" s="6">
        <v>0.004791027</v>
      </c>
      <c r="R112" s="6">
        <v>0.060351255</v>
      </c>
      <c r="S112" s="6">
        <v>0.406122251</v>
      </c>
      <c r="T112" s="6">
        <v>0.003959354</v>
      </c>
      <c r="U112" s="6">
        <v>0.167642315</v>
      </c>
      <c r="V112" s="6">
        <v>0</v>
      </c>
      <c r="W112" s="6">
        <v>0</v>
      </c>
      <c r="X112" s="6">
        <v>0.027216906</v>
      </c>
      <c r="Y112" s="6">
        <v>0</v>
      </c>
      <c r="Z112" s="6">
        <v>0</v>
      </c>
      <c r="AA112" s="6">
        <v>0</v>
      </c>
    </row>
    <row r="113" ht="15" hidden="1" spans="1:27">
      <c r="A113" s="6" t="s">
        <v>96</v>
      </c>
      <c r="B113" s="7" t="s">
        <v>341</v>
      </c>
      <c r="C113" s="7" t="s">
        <v>341</v>
      </c>
      <c r="D113" s="7" t="s">
        <v>89</v>
      </c>
      <c r="E113" s="7" t="s">
        <v>372</v>
      </c>
      <c r="F113" s="6">
        <v>0.010274797</v>
      </c>
      <c r="G113" s="6">
        <v>0</v>
      </c>
      <c r="H113" s="6">
        <v>0.003665416</v>
      </c>
      <c r="I113" s="6">
        <v>0.012869734</v>
      </c>
      <c r="J113" s="6">
        <v>0</v>
      </c>
      <c r="K113" s="6">
        <v>0.129570622</v>
      </c>
      <c r="L113" s="6">
        <v>0.005139412</v>
      </c>
      <c r="M113" s="6">
        <v>0.011072284</v>
      </c>
      <c r="N113" s="6">
        <v>0.014081369</v>
      </c>
      <c r="O113" s="6">
        <v>0</v>
      </c>
      <c r="P113" s="6">
        <v>0</v>
      </c>
      <c r="Q113" s="6">
        <v>0.010056089</v>
      </c>
      <c r="R113" s="6">
        <v>0</v>
      </c>
      <c r="S113" s="6">
        <v>0.397047883</v>
      </c>
      <c r="T113" s="6">
        <v>0.029838848</v>
      </c>
      <c r="U113" s="6">
        <v>0.350854758</v>
      </c>
      <c r="V113" s="6">
        <v>0</v>
      </c>
      <c r="W113" s="6">
        <v>0</v>
      </c>
      <c r="X113" s="6">
        <v>0.025528789</v>
      </c>
      <c r="Y113" s="6">
        <v>0</v>
      </c>
      <c r="Z113" s="6">
        <v>0</v>
      </c>
      <c r="AA113" s="6">
        <v>0</v>
      </c>
    </row>
    <row r="114" ht="15" hidden="1" spans="1:27">
      <c r="A114" s="6" t="s">
        <v>75</v>
      </c>
      <c r="B114" s="7" t="s">
        <v>29</v>
      </c>
      <c r="C114" s="7" t="s">
        <v>341</v>
      </c>
      <c r="D114" s="7" t="s">
        <v>55</v>
      </c>
      <c r="E114" s="7" t="s">
        <v>372</v>
      </c>
      <c r="F114" s="6">
        <v>0.013974822</v>
      </c>
      <c r="G114" s="6">
        <v>0</v>
      </c>
      <c r="H114" s="6">
        <v>0.002417685</v>
      </c>
      <c r="I114" s="6">
        <v>0.039020047</v>
      </c>
      <c r="J114" s="6">
        <v>0</v>
      </c>
      <c r="K114" s="6">
        <v>0.123103261</v>
      </c>
      <c r="L114" s="6">
        <v>0.0002</v>
      </c>
      <c r="M114" s="6">
        <v>0.016369376</v>
      </c>
      <c r="N114" s="6">
        <v>0.051245925</v>
      </c>
      <c r="O114" s="6">
        <v>0</v>
      </c>
      <c r="P114" s="6">
        <v>0.032993023</v>
      </c>
      <c r="Q114" s="6">
        <v>0</v>
      </c>
      <c r="R114" s="6">
        <v>0</v>
      </c>
      <c r="S114" s="6">
        <v>0.284017629</v>
      </c>
      <c r="T114" s="6">
        <v>0.01185996</v>
      </c>
      <c r="U114" s="6">
        <v>0.40539764</v>
      </c>
      <c r="V114" s="6">
        <v>0</v>
      </c>
      <c r="W114" s="6">
        <v>0</v>
      </c>
      <c r="X114" s="6">
        <v>0</v>
      </c>
      <c r="Y114" s="6">
        <v>0.011322601</v>
      </c>
      <c r="Z114" s="6">
        <v>0</v>
      </c>
      <c r="AA114" s="6">
        <v>0.008031201</v>
      </c>
    </row>
    <row r="115" ht="15" hidden="1" spans="1:27">
      <c r="A115" s="6" t="s">
        <v>232</v>
      </c>
      <c r="B115" s="7" t="s">
        <v>344</v>
      </c>
      <c r="C115" s="7" t="s">
        <v>341</v>
      </c>
      <c r="D115" s="7" t="s">
        <v>18</v>
      </c>
      <c r="E115" s="7" t="s">
        <v>372</v>
      </c>
      <c r="F115" s="6">
        <v>0.019187116</v>
      </c>
      <c r="G115" s="6">
        <v>0</v>
      </c>
      <c r="H115" s="6">
        <v>0</v>
      </c>
      <c r="I115" s="6">
        <v>0.011841468</v>
      </c>
      <c r="J115" s="6">
        <v>0</v>
      </c>
      <c r="K115" s="6">
        <v>0.00242806</v>
      </c>
      <c r="L115" s="6">
        <v>0</v>
      </c>
      <c r="M115" s="6">
        <v>0.011469908</v>
      </c>
      <c r="N115" s="6">
        <v>0.025485076</v>
      </c>
      <c r="O115" s="6">
        <v>0</v>
      </c>
      <c r="P115" s="6">
        <v>0.027464098</v>
      </c>
      <c r="Q115" s="6">
        <v>0</v>
      </c>
      <c r="R115" s="6">
        <v>0</v>
      </c>
      <c r="S115" s="6">
        <v>0.403612171</v>
      </c>
      <c r="T115" s="6">
        <v>0.002385437</v>
      </c>
      <c r="U115" s="6">
        <v>0.468536591</v>
      </c>
      <c r="V115" s="6">
        <v>0</v>
      </c>
      <c r="W115" s="6">
        <v>0</v>
      </c>
      <c r="X115" s="6">
        <v>0.026632009</v>
      </c>
      <c r="Y115" s="6">
        <v>0</v>
      </c>
      <c r="Z115" s="6">
        <v>0</v>
      </c>
      <c r="AA115" s="6">
        <v>0.001</v>
      </c>
    </row>
    <row r="116" ht="15" hidden="1" spans="1:27">
      <c r="A116" s="6" t="s">
        <v>216</v>
      </c>
      <c r="B116" s="7" t="s">
        <v>341</v>
      </c>
      <c r="C116" s="7" t="s">
        <v>341</v>
      </c>
      <c r="D116" s="7" t="s">
        <v>55</v>
      </c>
      <c r="E116" s="7" t="s">
        <v>372</v>
      </c>
      <c r="F116" s="6">
        <v>0.017812725</v>
      </c>
      <c r="G116" s="6">
        <v>0</v>
      </c>
      <c r="H116" s="6">
        <v>0</v>
      </c>
      <c r="I116" s="6">
        <v>0</v>
      </c>
      <c r="J116" s="6">
        <v>0</v>
      </c>
      <c r="K116" s="6">
        <v>0.206582642</v>
      </c>
      <c r="L116" s="6">
        <v>0</v>
      </c>
      <c r="M116" s="6">
        <v>0.005992567</v>
      </c>
      <c r="N116" s="6">
        <v>0.032559593</v>
      </c>
      <c r="O116" s="6">
        <v>0</v>
      </c>
      <c r="P116" s="6">
        <v>0.021105135</v>
      </c>
      <c r="Q116" s="6">
        <v>0.007491727</v>
      </c>
      <c r="R116" s="6">
        <v>0</v>
      </c>
      <c r="S116" s="6">
        <v>0.314180001</v>
      </c>
      <c r="T116" s="6">
        <v>0</v>
      </c>
      <c r="U116" s="6">
        <v>0.332614069</v>
      </c>
      <c r="V116" s="6">
        <v>0</v>
      </c>
      <c r="W116" s="6">
        <v>0</v>
      </c>
      <c r="X116" s="6">
        <v>0.06166154</v>
      </c>
      <c r="Y116" s="6">
        <v>0</v>
      </c>
      <c r="Z116" s="6">
        <v>0</v>
      </c>
      <c r="AA116" s="6">
        <v>0</v>
      </c>
    </row>
    <row r="117" ht="15" hidden="1" spans="1:27">
      <c r="A117" s="6" t="s">
        <v>273</v>
      </c>
      <c r="B117" s="7" t="s">
        <v>344</v>
      </c>
      <c r="C117" s="7" t="s">
        <v>341</v>
      </c>
      <c r="D117" s="7" t="s">
        <v>51</v>
      </c>
      <c r="E117" s="7" t="s">
        <v>372</v>
      </c>
      <c r="F117" s="6">
        <v>0</v>
      </c>
      <c r="G117" s="6">
        <v>0.028076225</v>
      </c>
      <c r="H117" s="6">
        <v>0.014637978</v>
      </c>
      <c r="I117" s="6">
        <v>0</v>
      </c>
      <c r="J117" s="6">
        <v>0</v>
      </c>
      <c r="K117" s="6">
        <v>0.126445652</v>
      </c>
      <c r="L117" s="6">
        <v>0.007877588</v>
      </c>
      <c r="M117" s="6">
        <v>0.009778909</v>
      </c>
      <c r="N117" s="6">
        <v>0.012558877</v>
      </c>
      <c r="O117" s="6">
        <v>0.003578557</v>
      </c>
      <c r="P117" s="6">
        <v>0.056080286</v>
      </c>
      <c r="Q117" s="6">
        <v>0</v>
      </c>
      <c r="R117" s="6">
        <v>0</v>
      </c>
      <c r="S117" s="6">
        <v>0.258813846</v>
      </c>
      <c r="T117" s="6">
        <v>0.066395114</v>
      </c>
      <c r="U117" s="6">
        <v>0.345859801</v>
      </c>
      <c r="V117" s="6">
        <v>0</v>
      </c>
      <c r="W117" s="6">
        <v>0</v>
      </c>
      <c r="X117" s="6">
        <v>0</v>
      </c>
      <c r="Y117" s="6">
        <v>0.069897168</v>
      </c>
      <c r="Z117" s="6">
        <v>0</v>
      </c>
      <c r="AA117" s="6">
        <v>0</v>
      </c>
    </row>
    <row r="118" ht="15" hidden="1" spans="1:27">
      <c r="A118" s="6" t="s">
        <v>127</v>
      </c>
      <c r="B118" s="7" t="s">
        <v>29</v>
      </c>
      <c r="C118" s="7" t="s">
        <v>341</v>
      </c>
      <c r="D118" s="7" t="s">
        <v>31</v>
      </c>
      <c r="E118" s="7" t="s">
        <v>372</v>
      </c>
      <c r="F118" s="6">
        <v>0</v>
      </c>
      <c r="G118" s="6">
        <v>0.084589396</v>
      </c>
      <c r="H118" s="6">
        <v>0.050182552</v>
      </c>
      <c r="I118" s="6">
        <v>0</v>
      </c>
      <c r="J118" s="6">
        <v>0</v>
      </c>
      <c r="K118" s="6">
        <v>0.122639328</v>
      </c>
      <c r="L118" s="6">
        <v>0</v>
      </c>
      <c r="M118" s="6">
        <v>0.019061065</v>
      </c>
      <c r="N118" s="6">
        <v>0.01905323</v>
      </c>
      <c r="O118" s="6">
        <v>0</v>
      </c>
      <c r="P118" s="6">
        <v>0</v>
      </c>
      <c r="Q118" s="6">
        <v>0.100551511</v>
      </c>
      <c r="R118" s="6">
        <v>0</v>
      </c>
      <c r="S118" s="6">
        <v>0.410738181</v>
      </c>
      <c r="T118" s="6">
        <v>0.020891019</v>
      </c>
      <c r="U118" s="6">
        <v>0.144501093</v>
      </c>
      <c r="V118" s="6">
        <v>0</v>
      </c>
      <c r="W118" s="6">
        <v>0</v>
      </c>
      <c r="X118" s="6">
        <v>0.027792626</v>
      </c>
      <c r="Y118" s="6">
        <v>0</v>
      </c>
      <c r="Z118" s="6">
        <v>0</v>
      </c>
      <c r="AA118" s="6">
        <v>0</v>
      </c>
    </row>
    <row r="119" ht="15" hidden="1" spans="1:27">
      <c r="A119" s="6" t="s">
        <v>211</v>
      </c>
      <c r="B119" s="7" t="s">
        <v>344</v>
      </c>
      <c r="C119" s="7" t="s">
        <v>344</v>
      </c>
      <c r="D119" s="7" t="s">
        <v>89</v>
      </c>
      <c r="E119" s="7" t="s">
        <v>372</v>
      </c>
      <c r="F119" s="6">
        <v>0.022151164</v>
      </c>
      <c r="G119" s="6">
        <v>0</v>
      </c>
      <c r="H119" s="6">
        <v>0.021268193</v>
      </c>
      <c r="I119" s="6">
        <v>0.023087727</v>
      </c>
      <c r="J119" s="6">
        <v>0</v>
      </c>
      <c r="K119" s="6">
        <v>0.099109719</v>
      </c>
      <c r="L119" s="6">
        <v>0.010069934</v>
      </c>
      <c r="M119" s="6">
        <v>0.002566972</v>
      </c>
      <c r="N119" s="6">
        <v>0.004682943</v>
      </c>
      <c r="O119" s="6">
        <v>0</v>
      </c>
      <c r="P119" s="6">
        <v>0.028584738</v>
      </c>
      <c r="Q119" s="6">
        <v>0</v>
      </c>
      <c r="R119" s="6">
        <v>0</v>
      </c>
      <c r="S119" s="6">
        <v>0.380945899</v>
      </c>
      <c r="T119" s="6">
        <v>0.005395458</v>
      </c>
      <c r="U119" s="6">
        <v>0.355183526</v>
      </c>
      <c r="V119" s="6">
        <v>0</v>
      </c>
      <c r="W119" s="6">
        <v>0</v>
      </c>
      <c r="X119" s="6">
        <v>0.046953727</v>
      </c>
      <c r="Y119" s="6">
        <v>0</v>
      </c>
      <c r="Z119" s="6">
        <v>0</v>
      </c>
      <c r="AA119" s="6">
        <v>0</v>
      </c>
    </row>
    <row r="120" ht="15" hidden="1" spans="1:27">
      <c r="A120" s="6" t="s">
        <v>330</v>
      </c>
      <c r="B120" s="7" t="s">
        <v>344</v>
      </c>
      <c r="C120" s="7" t="s">
        <v>341</v>
      </c>
      <c r="D120" s="7" t="s">
        <v>89</v>
      </c>
      <c r="E120" s="7" t="s">
        <v>372</v>
      </c>
      <c r="F120" s="6">
        <v>0</v>
      </c>
      <c r="G120" s="6">
        <v>0.031392161</v>
      </c>
      <c r="H120" s="6">
        <v>0.039393238</v>
      </c>
      <c r="I120" s="6">
        <v>0</v>
      </c>
      <c r="J120" s="6">
        <v>0</v>
      </c>
      <c r="K120" s="6">
        <v>0.25754655</v>
      </c>
      <c r="L120" s="6">
        <v>0.001342013</v>
      </c>
      <c r="M120" s="6">
        <v>0</v>
      </c>
      <c r="N120" s="6">
        <v>0.01322561</v>
      </c>
      <c r="O120" s="6">
        <v>0</v>
      </c>
      <c r="P120" s="6">
        <v>0.064076896</v>
      </c>
      <c r="Q120" s="6">
        <v>0.013397297</v>
      </c>
      <c r="R120" s="6">
        <v>0</v>
      </c>
      <c r="S120" s="6">
        <v>0.313142018</v>
      </c>
      <c r="T120" s="6">
        <v>0.039315751</v>
      </c>
      <c r="U120" s="6">
        <v>0.201849168</v>
      </c>
      <c r="V120" s="6">
        <v>0</v>
      </c>
      <c r="W120" s="6">
        <v>0</v>
      </c>
      <c r="X120" s="6">
        <v>0</v>
      </c>
      <c r="Y120" s="6">
        <v>0.025319297</v>
      </c>
      <c r="Z120" s="6">
        <v>0</v>
      </c>
      <c r="AA120" s="6">
        <v>0</v>
      </c>
    </row>
    <row r="121" ht="15" hidden="1" spans="1:27">
      <c r="A121" s="6" t="s">
        <v>54</v>
      </c>
      <c r="B121" s="7" t="s">
        <v>344</v>
      </c>
      <c r="C121" s="7" t="s">
        <v>344</v>
      </c>
      <c r="D121" s="7" t="s">
        <v>55</v>
      </c>
      <c r="E121" s="7" t="s">
        <v>372</v>
      </c>
      <c r="F121" s="6">
        <v>0.008891764</v>
      </c>
      <c r="G121" s="6">
        <v>0</v>
      </c>
      <c r="H121" s="6">
        <v>0</v>
      </c>
      <c r="I121" s="6">
        <v>0.021767919</v>
      </c>
      <c r="J121" s="6">
        <v>0</v>
      </c>
      <c r="K121" s="6">
        <v>0.062621814</v>
      </c>
      <c r="L121" s="6">
        <v>0</v>
      </c>
      <c r="M121" s="6">
        <v>0</v>
      </c>
      <c r="N121" s="6">
        <v>0.028669258</v>
      </c>
      <c r="O121" s="6">
        <v>0</v>
      </c>
      <c r="P121" s="6">
        <v>0.0009</v>
      </c>
      <c r="Q121" s="6">
        <v>0.008321992</v>
      </c>
      <c r="R121" s="6">
        <v>0.080251403</v>
      </c>
      <c r="S121" s="6">
        <v>0.327583142</v>
      </c>
      <c r="T121" s="6">
        <v>0.006389938</v>
      </c>
      <c r="U121" s="6">
        <v>0.4313102</v>
      </c>
      <c r="V121" s="6">
        <v>0</v>
      </c>
      <c r="W121" s="6">
        <v>0</v>
      </c>
      <c r="X121" s="6">
        <v>0.023301421</v>
      </c>
      <c r="Y121" s="6">
        <v>0</v>
      </c>
      <c r="Z121" s="6">
        <v>0</v>
      </c>
      <c r="AA121" s="6">
        <v>0</v>
      </c>
    </row>
    <row r="122" ht="15" hidden="1" spans="1:27">
      <c r="A122" s="6" t="s">
        <v>238</v>
      </c>
      <c r="B122" s="7" t="s">
        <v>344</v>
      </c>
      <c r="C122" s="7" t="s">
        <v>341</v>
      </c>
      <c r="D122" s="7" t="s">
        <v>51</v>
      </c>
      <c r="E122" s="7" t="s">
        <v>372</v>
      </c>
      <c r="F122" s="6">
        <v>0.079162022</v>
      </c>
      <c r="G122" s="6">
        <v>0</v>
      </c>
      <c r="H122" s="6">
        <v>0</v>
      </c>
      <c r="I122" s="6">
        <v>0.003761991</v>
      </c>
      <c r="J122" s="6">
        <v>0</v>
      </c>
      <c r="K122" s="6">
        <v>0.183865504</v>
      </c>
      <c r="L122" s="6">
        <v>0</v>
      </c>
      <c r="M122" s="6">
        <v>0.027342058</v>
      </c>
      <c r="N122" s="6">
        <v>0.037042762</v>
      </c>
      <c r="O122" s="6">
        <v>0</v>
      </c>
      <c r="P122" s="6">
        <v>0</v>
      </c>
      <c r="Q122" s="6">
        <v>0.04058123</v>
      </c>
      <c r="R122" s="6">
        <v>0.003763889</v>
      </c>
      <c r="S122" s="6">
        <v>0.233772321</v>
      </c>
      <c r="T122" s="6">
        <v>0.040638482</v>
      </c>
      <c r="U122" s="6">
        <v>0.256244253</v>
      </c>
      <c r="V122" s="6">
        <v>0</v>
      </c>
      <c r="W122" s="6">
        <v>0.018781587</v>
      </c>
      <c r="X122" s="6">
        <v>0.075043901</v>
      </c>
      <c r="Y122" s="6">
        <v>0</v>
      </c>
      <c r="Z122" s="6">
        <v>0</v>
      </c>
      <c r="AA122" s="6">
        <v>0</v>
      </c>
    </row>
    <row r="123" ht="15" hidden="1" spans="1:27">
      <c r="A123" s="6" t="s">
        <v>193</v>
      </c>
      <c r="B123" s="7" t="s">
        <v>29</v>
      </c>
      <c r="C123" s="7" t="s">
        <v>341</v>
      </c>
      <c r="D123" s="7" t="s">
        <v>18</v>
      </c>
      <c r="E123" s="7" t="s">
        <v>372</v>
      </c>
      <c r="F123" s="6">
        <v>0.055602585</v>
      </c>
      <c r="G123" s="6">
        <v>0</v>
      </c>
      <c r="H123" s="6">
        <v>0</v>
      </c>
      <c r="I123" s="6">
        <v>0</v>
      </c>
      <c r="J123" s="6">
        <v>0</v>
      </c>
      <c r="K123" s="6">
        <v>0.160125428</v>
      </c>
      <c r="L123" s="6">
        <v>0</v>
      </c>
      <c r="M123" s="6">
        <v>0.023796101</v>
      </c>
      <c r="N123" s="6">
        <v>0.016926126</v>
      </c>
      <c r="O123" s="6">
        <v>0</v>
      </c>
      <c r="P123" s="6">
        <v>0</v>
      </c>
      <c r="Q123" s="6">
        <v>0.051153376</v>
      </c>
      <c r="R123" s="6">
        <v>0.033489738</v>
      </c>
      <c r="S123" s="6">
        <v>0.315587907</v>
      </c>
      <c r="T123" s="6">
        <v>0</v>
      </c>
      <c r="U123" s="6">
        <v>0.287290872</v>
      </c>
      <c r="V123" s="6">
        <v>0</v>
      </c>
      <c r="W123" s="6">
        <v>0</v>
      </c>
      <c r="X123" s="6">
        <v>0.05006676</v>
      </c>
      <c r="Y123" s="6">
        <v>0</v>
      </c>
      <c r="Z123" s="6">
        <v>0.005961106</v>
      </c>
      <c r="AA123" s="6">
        <v>0</v>
      </c>
    </row>
    <row r="124" ht="15" hidden="1" spans="1:27">
      <c r="A124" s="6" t="s">
        <v>317</v>
      </c>
      <c r="B124" s="7" t="s">
        <v>29</v>
      </c>
      <c r="C124" s="7" t="s">
        <v>341</v>
      </c>
      <c r="D124" s="7" t="s">
        <v>55</v>
      </c>
      <c r="E124" s="7" t="s">
        <v>372</v>
      </c>
      <c r="F124" s="6">
        <v>0</v>
      </c>
      <c r="G124" s="6">
        <v>0.009318375</v>
      </c>
      <c r="H124" s="6">
        <v>0.001928629</v>
      </c>
      <c r="I124" s="6">
        <v>0</v>
      </c>
      <c r="J124" s="6">
        <v>0.003801044</v>
      </c>
      <c r="K124" s="6">
        <v>0</v>
      </c>
      <c r="L124" s="6">
        <v>0.037972889</v>
      </c>
      <c r="M124" s="6">
        <v>0.005459311</v>
      </c>
      <c r="N124" s="6">
        <v>0</v>
      </c>
      <c r="O124" s="6">
        <v>0</v>
      </c>
      <c r="P124" s="6">
        <v>0.014241211</v>
      </c>
      <c r="Q124" s="6">
        <v>0</v>
      </c>
      <c r="R124" s="6">
        <v>0</v>
      </c>
      <c r="S124" s="6">
        <v>0.725586375</v>
      </c>
      <c r="T124" s="6">
        <v>0</v>
      </c>
      <c r="U124" s="6">
        <v>0.181244194</v>
      </c>
      <c r="V124" s="6">
        <v>0</v>
      </c>
      <c r="W124" s="6">
        <v>0</v>
      </c>
      <c r="X124" s="6">
        <v>0</v>
      </c>
      <c r="Y124" s="6">
        <v>0.018901369</v>
      </c>
      <c r="Z124" s="6">
        <v>0</v>
      </c>
      <c r="AA124" s="6">
        <v>0.001546602</v>
      </c>
    </row>
    <row r="125" ht="15" hidden="1" spans="1:27">
      <c r="A125" s="6" t="s">
        <v>27</v>
      </c>
      <c r="B125" s="7" t="s">
        <v>344</v>
      </c>
      <c r="C125" s="7" t="s">
        <v>29</v>
      </c>
      <c r="D125" s="7" t="s">
        <v>18</v>
      </c>
      <c r="E125" s="7" t="s">
        <v>372</v>
      </c>
      <c r="F125" s="6">
        <v>0.182215771</v>
      </c>
      <c r="G125" s="6">
        <v>0</v>
      </c>
      <c r="H125" s="6">
        <v>0</v>
      </c>
      <c r="I125" s="6">
        <v>0</v>
      </c>
      <c r="J125" s="6">
        <v>0</v>
      </c>
      <c r="K125" s="6">
        <v>0.104924944</v>
      </c>
      <c r="L125" s="6">
        <v>0</v>
      </c>
      <c r="M125" s="6">
        <v>0.0009</v>
      </c>
      <c r="N125" s="6">
        <v>0.028007359</v>
      </c>
      <c r="O125" s="6">
        <v>0</v>
      </c>
      <c r="P125" s="6">
        <v>0.101868891</v>
      </c>
      <c r="Q125" s="6">
        <v>0</v>
      </c>
      <c r="R125" s="6">
        <v>0</v>
      </c>
      <c r="S125" s="6">
        <v>0.450311642</v>
      </c>
      <c r="T125" s="6">
        <v>0</v>
      </c>
      <c r="U125" s="6">
        <v>0.076437904</v>
      </c>
      <c r="V125" s="6">
        <v>0</v>
      </c>
      <c r="W125" s="6">
        <v>0</v>
      </c>
      <c r="X125" s="6">
        <v>0.05528873</v>
      </c>
      <c r="Y125" s="6">
        <v>0</v>
      </c>
      <c r="Z125" s="6">
        <v>0</v>
      </c>
      <c r="AA125" s="6">
        <v>0</v>
      </c>
    </row>
    <row r="126" ht="15" hidden="1" spans="1:27">
      <c r="A126" s="6" t="s">
        <v>134</v>
      </c>
      <c r="B126" s="7" t="s">
        <v>29</v>
      </c>
      <c r="C126" s="7" t="s">
        <v>341</v>
      </c>
      <c r="D126" s="7" t="s">
        <v>18</v>
      </c>
      <c r="E126" s="7" t="s">
        <v>372</v>
      </c>
      <c r="F126" s="6">
        <v>0.057656064</v>
      </c>
      <c r="G126" s="6">
        <v>0</v>
      </c>
      <c r="H126" s="6">
        <v>0</v>
      </c>
      <c r="I126" s="6">
        <v>0</v>
      </c>
      <c r="J126" s="6">
        <v>0</v>
      </c>
      <c r="K126" s="6">
        <v>0.148850101</v>
      </c>
      <c r="L126" s="6">
        <v>0</v>
      </c>
      <c r="M126" s="6">
        <v>0.002764644</v>
      </c>
      <c r="N126" s="6">
        <v>0.02065236</v>
      </c>
      <c r="O126" s="6">
        <v>0</v>
      </c>
      <c r="P126" s="6">
        <v>0.02674785</v>
      </c>
      <c r="Q126" s="6">
        <v>0.01641221</v>
      </c>
      <c r="R126" s="6">
        <v>0</v>
      </c>
      <c r="S126" s="6">
        <v>0.556453033</v>
      </c>
      <c r="T126" s="6">
        <v>0</v>
      </c>
      <c r="U126" s="6">
        <v>0.120962303</v>
      </c>
      <c r="V126" s="6">
        <v>0</v>
      </c>
      <c r="W126" s="6">
        <v>0</v>
      </c>
      <c r="X126" s="6">
        <v>0.045124862</v>
      </c>
      <c r="Y126" s="6">
        <v>0</v>
      </c>
      <c r="Z126" s="6">
        <v>0.004376572</v>
      </c>
      <c r="AA126" s="6">
        <v>0</v>
      </c>
    </row>
    <row r="127" ht="15" hidden="1" spans="1:27">
      <c r="A127" s="6" t="s">
        <v>14</v>
      </c>
      <c r="B127" s="7" t="s">
        <v>344</v>
      </c>
      <c r="C127" s="7" t="s">
        <v>341</v>
      </c>
      <c r="D127" s="7" t="s">
        <v>18</v>
      </c>
      <c r="E127" s="7" t="s">
        <v>372</v>
      </c>
      <c r="F127" s="6">
        <v>0.056692398</v>
      </c>
      <c r="G127" s="6">
        <v>0</v>
      </c>
      <c r="H127" s="6">
        <v>0</v>
      </c>
      <c r="I127" s="6">
        <v>0.001961522</v>
      </c>
      <c r="J127" s="6">
        <v>0</v>
      </c>
      <c r="K127" s="6">
        <v>0.008151431</v>
      </c>
      <c r="L127" s="6">
        <v>0</v>
      </c>
      <c r="M127" s="6">
        <v>0.039529577</v>
      </c>
      <c r="N127" s="6">
        <v>0.015498312</v>
      </c>
      <c r="O127" s="6">
        <v>0</v>
      </c>
      <c r="P127" s="6">
        <v>0</v>
      </c>
      <c r="Q127" s="6">
        <v>0.020893568</v>
      </c>
      <c r="R127" s="6">
        <v>0</v>
      </c>
      <c r="S127" s="6">
        <v>0.512384833</v>
      </c>
      <c r="T127" s="6">
        <v>0.00142946</v>
      </c>
      <c r="U127" s="6">
        <v>0.292833087</v>
      </c>
      <c r="V127" s="6">
        <v>0</v>
      </c>
      <c r="W127" s="6">
        <v>0</v>
      </c>
      <c r="X127" s="6">
        <v>0.050625811</v>
      </c>
      <c r="Y127" s="6">
        <v>0</v>
      </c>
      <c r="Z127" s="6">
        <v>0</v>
      </c>
      <c r="AA127" s="6">
        <v>0</v>
      </c>
    </row>
    <row r="128" ht="15" hidden="1" spans="1:27">
      <c r="A128" s="6" t="s">
        <v>81</v>
      </c>
      <c r="B128" s="7" t="s">
        <v>344</v>
      </c>
      <c r="C128" s="7" t="s">
        <v>341</v>
      </c>
      <c r="D128" s="7" t="s">
        <v>18</v>
      </c>
      <c r="E128" s="7" t="s">
        <v>372</v>
      </c>
      <c r="F128" s="6">
        <v>0</v>
      </c>
      <c r="G128" s="6">
        <v>0.018565142</v>
      </c>
      <c r="H128" s="6">
        <v>0</v>
      </c>
      <c r="I128" s="6">
        <v>0</v>
      </c>
      <c r="J128" s="6">
        <v>0</v>
      </c>
      <c r="K128" s="6">
        <v>0.006487271</v>
      </c>
      <c r="L128" s="6">
        <v>0.011669456</v>
      </c>
      <c r="M128" s="6">
        <v>0.026104087</v>
      </c>
      <c r="N128" s="6">
        <v>0</v>
      </c>
      <c r="O128" s="6">
        <v>0.002445331</v>
      </c>
      <c r="P128" s="6">
        <v>0.0005</v>
      </c>
      <c r="Q128" s="6">
        <v>0</v>
      </c>
      <c r="R128" s="6">
        <v>0</v>
      </c>
      <c r="S128" s="6">
        <v>0.676592958</v>
      </c>
      <c r="T128" s="6">
        <v>0</v>
      </c>
      <c r="U128" s="6">
        <v>0.241132179</v>
      </c>
      <c r="V128" s="6">
        <v>0</v>
      </c>
      <c r="W128" s="6">
        <v>0</v>
      </c>
      <c r="X128" s="6">
        <v>0.016540491</v>
      </c>
      <c r="Y128" s="6">
        <v>0</v>
      </c>
      <c r="Z128" s="6">
        <v>0</v>
      </c>
      <c r="AA128" s="6">
        <v>0</v>
      </c>
    </row>
    <row r="129" ht="15" spans="1:27">
      <c r="A129" s="6" t="s">
        <v>138</v>
      </c>
      <c r="B129" s="7" t="s">
        <v>29</v>
      </c>
      <c r="C129" s="7" t="s">
        <v>29</v>
      </c>
      <c r="D129" s="7" t="s">
        <v>18</v>
      </c>
      <c r="E129" s="7" t="s">
        <v>372</v>
      </c>
      <c r="F129" s="6">
        <v>0.001503116</v>
      </c>
      <c r="G129" s="6">
        <v>0</v>
      </c>
      <c r="H129" s="6">
        <v>0.002283277</v>
      </c>
      <c r="I129" s="6">
        <v>0</v>
      </c>
      <c r="J129" s="6">
        <v>0.004003574</v>
      </c>
      <c r="K129" s="6">
        <v>0.099336892</v>
      </c>
      <c r="L129" s="6">
        <v>0.003906411</v>
      </c>
      <c r="M129" s="6">
        <v>0</v>
      </c>
      <c r="N129" s="6">
        <v>0.002207637</v>
      </c>
      <c r="O129" s="6">
        <v>0</v>
      </c>
      <c r="P129" s="6">
        <v>0.059327679</v>
      </c>
      <c r="Q129" s="6">
        <v>0</v>
      </c>
      <c r="R129" s="6">
        <v>0</v>
      </c>
      <c r="S129" s="6">
        <v>0.364677588</v>
      </c>
      <c r="T129" s="6">
        <v>0</v>
      </c>
      <c r="U129" s="6">
        <v>0.45405299</v>
      </c>
      <c r="V129" s="6">
        <v>0.001567962</v>
      </c>
      <c r="W129" s="6">
        <v>0</v>
      </c>
      <c r="X129" s="6">
        <v>0.006055989</v>
      </c>
      <c r="Y129" s="6">
        <v>0</v>
      </c>
      <c r="Z129" s="6">
        <v>0</v>
      </c>
      <c r="AA129" s="6">
        <v>0.001076883</v>
      </c>
    </row>
    <row r="130" ht="15" hidden="1" spans="1:27">
      <c r="A130" s="6" t="s">
        <v>45</v>
      </c>
      <c r="B130" s="7" t="s">
        <v>344</v>
      </c>
      <c r="C130" s="7" t="s">
        <v>341</v>
      </c>
      <c r="D130" s="7" t="s">
        <v>18</v>
      </c>
      <c r="E130" s="7" t="s">
        <v>372</v>
      </c>
      <c r="F130" s="6">
        <v>0.10476784</v>
      </c>
      <c r="G130" s="6">
        <v>0</v>
      </c>
      <c r="H130" s="6">
        <v>0</v>
      </c>
      <c r="I130" s="6">
        <v>0</v>
      </c>
      <c r="J130" s="6">
        <v>0</v>
      </c>
      <c r="K130" s="6">
        <v>0.203186817</v>
      </c>
      <c r="L130" s="6">
        <v>0</v>
      </c>
      <c r="M130" s="6">
        <v>0</v>
      </c>
      <c r="N130" s="6">
        <v>0.001456873</v>
      </c>
      <c r="O130" s="6">
        <v>0</v>
      </c>
      <c r="P130" s="6">
        <v>0.033709087</v>
      </c>
      <c r="Q130" s="6">
        <v>0</v>
      </c>
      <c r="R130" s="6">
        <v>0.052403667</v>
      </c>
      <c r="S130" s="6">
        <v>0.317940048</v>
      </c>
      <c r="T130" s="6">
        <v>0.002473976</v>
      </c>
      <c r="U130" s="6">
        <v>0.222416012</v>
      </c>
      <c r="V130" s="6">
        <v>0</v>
      </c>
      <c r="W130" s="6">
        <v>0</v>
      </c>
      <c r="X130" s="6">
        <v>0.061645681</v>
      </c>
      <c r="Y130" s="6">
        <v>0</v>
      </c>
      <c r="Z130" s="6">
        <v>0</v>
      </c>
      <c r="AA130" s="6">
        <v>0</v>
      </c>
    </row>
    <row r="131" ht="15" hidden="1" spans="1:27">
      <c r="A131" s="6" t="s">
        <v>142</v>
      </c>
      <c r="B131" s="7" t="s">
        <v>344</v>
      </c>
      <c r="C131" s="7" t="s">
        <v>341</v>
      </c>
      <c r="D131" s="7" t="s">
        <v>51</v>
      </c>
      <c r="E131" s="7" t="s">
        <v>372</v>
      </c>
      <c r="F131" s="6">
        <v>0.035657351</v>
      </c>
      <c r="G131" s="6">
        <v>0</v>
      </c>
      <c r="H131" s="6">
        <v>0.001128384</v>
      </c>
      <c r="I131" s="6">
        <v>0</v>
      </c>
      <c r="J131" s="6">
        <v>0</v>
      </c>
      <c r="K131" s="6">
        <v>0.188750069</v>
      </c>
      <c r="L131" s="6">
        <v>0</v>
      </c>
      <c r="M131" s="6">
        <v>0.002550331</v>
      </c>
      <c r="N131" s="6">
        <v>0</v>
      </c>
      <c r="O131" s="6">
        <v>0</v>
      </c>
      <c r="P131" s="6">
        <v>0.036555578</v>
      </c>
      <c r="Q131" s="6">
        <v>0.031037669</v>
      </c>
      <c r="R131" s="6">
        <v>0.007184962</v>
      </c>
      <c r="S131" s="6">
        <v>0.318535509</v>
      </c>
      <c r="T131" s="6">
        <v>0.029897761</v>
      </c>
      <c r="U131" s="6">
        <v>0.30838549</v>
      </c>
      <c r="V131" s="6">
        <v>0</v>
      </c>
      <c r="W131" s="6">
        <v>0</v>
      </c>
      <c r="X131" s="6">
        <v>0.039689148</v>
      </c>
      <c r="Y131" s="6">
        <v>0</v>
      </c>
      <c r="Z131" s="6">
        <v>0</v>
      </c>
      <c r="AA131" s="6">
        <v>0.0006</v>
      </c>
    </row>
    <row r="132" ht="15" spans="1:27">
      <c r="A132" s="6" t="s">
        <v>319</v>
      </c>
      <c r="B132" s="7" t="s">
        <v>29</v>
      </c>
      <c r="C132" s="7" t="s">
        <v>29</v>
      </c>
      <c r="D132" s="7" t="s">
        <v>55</v>
      </c>
      <c r="E132" s="7" t="s">
        <v>372</v>
      </c>
      <c r="F132" s="6">
        <v>0.010491575</v>
      </c>
      <c r="G132" s="6">
        <v>0</v>
      </c>
      <c r="H132" s="6">
        <v>0</v>
      </c>
      <c r="I132" s="6">
        <v>0</v>
      </c>
      <c r="J132" s="6">
        <v>0</v>
      </c>
      <c r="K132" s="6">
        <v>0.034624142</v>
      </c>
      <c r="L132" s="6">
        <v>0</v>
      </c>
      <c r="M132" s="6">
        <v>0.005324664</v>
      </c>
      <c r="N132" s="6">
        <v>0.002670745</v>
      </c>
      <c r="O132" s="6">
        <v>0.012392353</v>
      </c>
      <c r="P132" s="6">
        <v>0</v>
      </c>
      <c r="Q132" s="6">
        <v>0.015403764</v>
      </c>
      <c r="R132" s="6">
        <v>0</v>
      </c>
      <c r="S132" s="6">
        <v>0.491623532</v>
      </c>
      <c r="T132" s="6">
        <v>0.009519221</v>
      </c>
      <c r="U132" s="6">
        <v>0.360342721</v>
      </c>
      <c r="V132" s="6">
        <v>0</v>
      </c>
      <c r="W132" s="6">
        <v>0</v>
      </c>
      <c r="X132" s="6">
        <v>0.057607283</v>
      </c>
      <c r="Y132" s="6">
        <v>0</v>
      </c>
      <c r="Z132" s="6">
        <v>0</v>
      </c>
      <c r="AA132" s="6">
        <v>0</v>
      </c>
    </row>
    <row r="133" ht="15" hidden="1" spans="1:27">
      <c r="A133" s="6" t="s">
        <v>269</v>
      </c>
      <c r="B133" s="7" t="s">
        <v>29</v>
      </c>
      <c r="C133" s="7" t="s">
        <v>341</v>
      </c>
      <c r="D133" s="7" t="s">
        <v>18</v>
      </c>
      <c r="E133" s="7" t="s">
        <v>372</v>
      </c>
      <c r="F133" s="6">
        <v>0.092373558</v>
      </c>
      <c r="G133" s="6">
        <v>0</v>
      </c>
      <c r="H133" s="6">
        <v>0.045254682</v>
      </c>
      <c r="I133" s="6">
        <v>0.016910113</v>
      </c>
      <c r="J133" s="6">
        <v>0</v>
      </c>
      <c r="K133" s="6">
        <v>0.135760534</v>
      </c>
      <c r="L133" s="6">
        <v>0.004807758</v>
      </c>
      <c r="M133" s="6">
        <v>0.007328509</v>
      </c>
      <c r="N133" s="6">
        <v>0.02284883</v>
      </c>
      <c r="O133" s="6">
        <v>0</v>
      </c>
      <c r="P133" s="6">
        <v>0.03344498</v>
      </c>
      <c r="Q133" s="6">
        <v>0</v>
      </c>
      <c r="R133" s="6">
        <v>0.009051044</v>
      </c>
      <c r="S133" s="6">
        <v>0.213269675</v>
      </c>
      <c r="T133" s="6">
        <v>0.042397599</v>
      </c>
      <c r="U133" s="6">
        <v>0.34011829</v>
      </c>
      <c r="V133" s="6">
        <v>0</v>
      </c>
      <c r="W133" s="6">
        <v>0</v>
      </c>
      <c r="X133" s="6">
        <v>0.036434428</v>
      </c>
      <c r="Y133" s="6">
        <v>0</v>
      </c>
      <c r="Z133" s="6">
        <v>0</v>
      </c>
      <c r="AA133" s="6">
        <v>0</v>
      </c>
    </row>
    <row r="134" ht="15" hidden="1" spans="1:27">
      <c r="A134" s="6" t="s">
        <v>245</v>
      </c>
      <c r="B134" s="7" t="s">
        <v>344</v>
      </c>
      <c r="C134" s="7" t="s">
        <v>29</v>
      </c>
      <c r="D134" s="7" t="s">
        <v>18</v>
      </c>
      <c r="E134" s="7" t="s">
        <v>372</v>
      </c>
      <c r="F134" s="6">
        <v>0</v>
      </c>
      <c r="G134" s="6">
        <v>0</v>
      </c>
      <c r="H134" s="6">
        <v>0.003026599</v>
      </c>
      <c r="I134" s="6">
        <v>0.007692001</v>
      </c>
      <c r="J134" s="6">
        <v>0</v>
      </c>
      <c r="K134" s="6">
        <v>0.147396816</v>
      </c>
      <c r="L134" s="6">
        <v>0</v>
      </c>
      <c r="M134" s="6">
        <v>0.00877492</v>
      </c>
      <c r="N134" s="6">
        <v>0</v>
      </c>
      <c r="O134" s="6">
        <v>0</v>
      </c>
      <c r="P134" s="6">
        <v>0.0155511</v>
      </c>
      <c r="Q134" s="6">
        <v>0.017688717</v>
      </c>
      <c r="R134" s="6">
        <v>0</v>
      </c>
      <c r="S134" s="6">
        <v>0.567845903</v>
      </c>
      <c r="T134" s="6">
        <v>0.01361467</v>
      </c>
      <c r="U134" s="6">
        <v>0.159897531</v>
      </c>
      <c r="V134" s="6">
        <v>0</v>
      </c>
      <c r="W134" s="6">
        <v>0</v>
      </c>
      <c r="X134" s="6">
        <v>0.058511744</v>
      </c>
      <c r="Y134" s="6">
        <v>0</v>
      </c>
      <c r="Z134" s="6">
        <v>0</v>
      </c>
      <c r="AA134" s="6">
        <v>0</v>
      </c>
    </row>
    <row r="135" ht="15" hidden="1" spans="1:27">
      <c r="A135" s="6" t="s">
        <v>94</v>
      </c>
      <c r="B135" s="7" t="s">
        <v>341</v>
      </c>
      <c r="C135" s="7" t="s">
        <v>29</v>
      </c>
      <c r="D135" s="7" t="s">
        <v>18</v>
      </c>
      <c r="E135" s="7" t="s">
        <v>372</v>
      </c>
      <c r="F135" s="6">
        <v>0.097072505</v>
      </c>
      <c r="G135" s="6">
        <v>0</v>
      </c>
      <c r="H135" s="6">
        <v>0.034686189</v>
      </c>
      <c r="I135" s="6">
        <v>0.03851098</v>
      </c>
      <c r="J135" s="6">
        <v>0</v>
      </c>
      <c r="K135" s="6">
        <v>0.208037324</v>
      </c>
      <c r="L135" s="6">
        <v>0</v>
      </c>
      <c r="M135" s="6">
        <v>0</v>
      </c>
      <c r="N135" s="6">
        <v>0</v>
      </c>
      <c r="O135" s="6">
        <v>0</v>
      </c>
      <c r="P135" s="6">
        <v>0.027665458</v>
      </c>
      <c r="Q135" s="6">
        <v>0</v>
      </c>
      <c r="R135" s="6">
        <v>0.05227667</v>
      </c>
      <c r="S135" s="6">
        <v>0.235999838</v>
      </c>
      <c r="T135" s="6">
        <v>0.024597367</v>
      </c>
      <c r="U135" s="6">
        <v>0.267324039</v>
      </c>
      <c r="V135" s="6">
        <v>0</v>
      </c>
      <c r="W135" s="6">
        <v>0</v>
      </c>
      <c r="X135" s="6">
        <v>0</v>
      </c>
      <c r="Y135" s="6">
        <v>0.01230562</v>
      </c>
      <c r="Z135" s="6">
        <v>0.001524011</v>
      </c>
      <c r="AA135" s="6">
        <v>0</v>
      </c>
    </row>
    <row r="136" ht="15" hidden="1" spans="1:27">
      <c r="A136" s="6" t="s">
        <v>109</v>
      </c>
      <c r="B136" s="7" t="s">
        <v>344</v>
      </c>
      <c r="C136" s="7" t="s">
        <v>341</v>
      </c>
      <c r="D136" s="7" t="s">
        <v>55</v>
      </c>
      <c r="E136" s="7" t="s">
        <v>372</v>
      </c>
      <c r="F136" s="6">
        <v>0</v>
      </c>
      <c r="G136" s="6">
        <v>0</v>
      </c>
      <c r="H136" s="6">
        <v>0.008067497</v>
      </c>
      <c r="I136" s="6">
        <v>0.020608727</v>
      </c>
      <c r="J136" s="6">
        <v>0</v>
      </c>
      <c r="K136" s="6">
        <v>0.082216578</v>
      </c>
      <c r="L136" s="6">
        <v>0.028066174</v>
      </c>
      <c r="M136" s="6">
        <v>0.020607608</v>
      </c>
      <c r="N136" s="6">
        <v>0.03025275</v>
      </c>
      <c r="O136" s="6">
        <v>0.006625326</v>
      </c>
      <c r="P136" s="6">
        <v>0.017853167</v>
      </c>
      <c r="Q136" s="6">
        <v>0</v>
      </c>
      <c r="R136" s="6">
        <v>0</v>
      </c>
      <c r="S136" s="6">
        <v>0.488642084</v>
      </c>
      <c r="T136" s="6">
        <v>0.015759439</v>
      </c>
      <c r="U136" s="6">
        <v>0.21824306</v>
      </c>
      <c r="V136" s="6">
        <v>0</v>
      </c>
      <c r="W136" s="6">
        <v>0</v>
      </c>
      <c r="X136" s="6">
        <v>0.063057589</v>
      </c>
      <c r="Y136" s="6">
        <v>0</v>
      </c>
      <c r="Z136" s="6">
        <v>0</v>
      </c>
      <c r="AA136" s="6">
        <v>0</v>
      </c>
    </row>
    <row r="137" ht="15" hidden="1" spans="1:27">
      <c r="A137" s="6" t="s">
        <v>335</v>
      </c>
      <c r="B137" s="7" t="s">
        <v>29</v>
      </c>
      <c r="C137" s="7" t="s">
        <v>341</v>
      </c>
      <c r="D137" s="7" t="s">
        <v>55</v>
      </c>
      <c r="E137" s="7" t="s">
        <v>372</v>
      </c>
      <c r="F137" s="6">
        <v>0.012451523</v>
      </c>
      <c r="G137" s="6">
        <v>0</v>
      </c>
      <c r="H137" s="6">
        <v>0</v>
      </c>
      <c r="I137" s="6">
        <v>0</v>
      </c>
      <c r="J137" s="6">
        <v>0.023332614</v>
      </c>
      <c r="K137" s="6">
        <v>0.150968098</v>
      </c>
      <c r="L137" s="6">
        <v>0</v>
      </c>
      <c r="M137" s="6">
        <v>0</v>
      </c>
      <c r="N137" s="6">
        <v>0.002361606</v>
      </c>
      <c r="O137" s="6">
        <v>0</v>
      </c>
      <c r="P137" s="6">
        <v>0.040121127</v>
      </c>
      <c r="Q137" s="6">
        <v>0.00683345</v>
      </c>
      <c r="R137" s="6">
        <v>0.049055375</v>
      </c>
      <c r="S137" s="6">
        <v>0.440064337</v>
      </c>
      <c r="T137" s="6">
        <v>0.005852881</v>
      </c>
      <c r="U137" s="6">
        <v>0.211197201</v>
      </c>
      <c r="V137" s="6">
        <v>0</v>
      </c>
      <c r="W137" s="6">
        <v>0</v>
      </c>
      <c r="X137" s="6">
        <v>0</v>
      </c>
      <c r="Y137" s="6">
        <v>0.049908909</v>
      </c>
      <c r="Z137" s="6">
        <v>0</v>
      </c>
      <c r="AA137" s="6">
        <v>0.00785288</v>
      </c>
    </row>
    <row r="138" ht="15" spans="1:27">
      <c r="A138" s="6" t="s">
        <v>276</v>
      </c>
      <c r="B138" s="7" t="s">
        <v>29</v>
      </c>
      <c r="C138" s="7" t="s">
        <v>29</v>
      </c>
      <c r="D138" s="7" t="s">
        <v>89</v>
      </c>
      <c r="E138" s="7" t="s">
        <v>372</v>
      </c>
      <c r="F138" s="6">
        <v>0.027343415</v>
      </c>
      <c r="G138" s="6">
        <v>0</v>
      </c>
      <c r="H138" s="6">
        <v>0.007070894</v>
      </c>
      <c r="I138" s="6">
        <v>0.058751312</v>
      </c>
      <c r="J138" s="6">
        <v>0</v>
      </c>
      <c r="K138" s="6">
        <v>0.060131913</v>
      </c>
      <c r="L138" s="6">
        <v>0</v>
      </c>
      <c r="M138" s="6">
        <v>0</v>
      </c>
      <c r="N138" s="6">
        <v>0.010768841</v>
      </c>
      <c r="O138" s="6">
        <v>0</v>
      </c>
      <c r="P138" s="6">
        <v>0</v>
      </c>
      <c r="Q138" s="6">
        <v>0.019114948</v>
      </c>
      <c r="R138" s="6">
        <v>0.053776611</v>
      </c>
      <c r="S138" s="6">
        <v>0.347814017</v>
      </c>
      <c r="T138" s="6">
        <v>0</v>
      </c>
      <c r="U138" s="6">
        <v>0.37101942</v>
      </c>
      <c r="V138" s="6">
        <v>0</v>
      </c>
      <c r="W138" s="6">
        <v>0</v>
      </c>
      <c r="X138" s="6">
        <v>0.044208629</v>
      </c>
      <c r="Y138" s="6">
        <v>0</v>
      </c>
      <c r="Z138" s="6">
        <v>0</v>
      </c>
      <c r="AA138" s="6">
        <v>0</v>
      </c>
    </row>
    <row r="139" ht="15" hidden="1" spans="1:27">
      <c r="A139" s="6" t="s">
        <v>169</v>
      </c>
      <c r="B139" s="7" t="s">
        <v>29</v>
      </c>
      <c r="C139" s="7" t="s">
        <v>341</v>
      </c>
      <c r="D139" s="7" t="s">
        <v>18</v>
      </c>
      <c r="E139" s="7" t="s">
        <v>372</v>
      </c>
      <c r="F139" s="6">
        <v>0.017876796</v>
      </c>
      <c r="G139" s="6">
        <v>0</v>
      </c>
      <c r="H139" s="6">
        <v>0.00373074</v>
      </c>
      <c r="I139" s="6">
        <v>0.011558192</v>
      </c>
      <c r="J139" s="6">
        <v>0</v>
      </c>
      <c r="K139" s="6">
        <v>0.099859808</v>
      </c>
      <c r="L139" s="6">
        <v>0</v>
      </c>
      <c r="M139" s="6">
        <v>0</v>
      </c>
      <c r="N139" s="6">
        <v>0.018558709</v>
      </c>
      <c r="O139" s="6">
        <v>0</v>
      </c>
      <c r="P139" s="6">
        <v>0</v>
      </c>
      <c r="Q139" s="6">
        <v>0.019664521</v>
      </c>
      <c r="R139" s="6">
        <v>0.016592294</v>
      </c>
      <c r="S139" s="6">
        <v>0.529552775</v>
      </c>
      <c r="T139" s="6">
        <v>0.026216725</v>
      </c>
      <c r="U139" s="6">
        <v>0.154020354</v>
      </c>
      <c r="V139" s="6">
        <v>0</v>
      </c>
      <c r="W139" s="6">
        <v>0</v>
      </c>
      <c r="X139" s="6">
        <v>0.102369085</v>
      </c>
      <c r="Y139" s="6">
        <v>0</v>
      </c>
      <c r="Z139" s="6">
        <v>0</v>
      </c>
      <c r="AA139" s="6">
        <v>0</v>
      </c>
    </row>
    <row r="140" ht="15" hidden="1" spans="1:27">
      <c r="A140" s="6" t="s">
        <v>228</v>
      </c>
      <c r="B140" s="7" t="s">
        <v>341</v>
      </c>
      <c r="C140" s="7" t="s">
        <v>341</v>
      </c>
      <c r="D140" s="7" t="s">
        <v>31</v>
      </c>
      <c r="E140" s="7" t="s">
        <v>372</v>
      </c>
      <c r="F140" s="6">
        <v>0.055669223</v>
      </c>
      <c r="G140" s="6">
        <v>0</v>
      </c>
      <c r="H140" s="6">
        <v>0</v>
      </c>
      <c r="I140" s="6">
        <v>0</v>
      </c>
      <c r="J140" s="6">
        <v>0</v>
      </c>
      <c r="K140" s="6">
        <v>0.192946813</v>
      </c>
      <c r="L140" s="6">
        <v>0</v>
      </c>
      <c r="M140" s="6">
        <v>0</v>
      </c>
      <c r="N140" s="6">
        <v>0.027425742</v>
      </c>
      <c r="O140" s="6">
        <v>0</v>
      </c>
      <c r="P140" s="6">
        <v>0</v>
      </c>
      <c r="Q140" s="6">
        <v>0.035853636</v>
      </c>
      <c r="R140" s="6">
        <v>0.002997536</v>
      </c>
      <c r="S140" s="6">
        <v>0.40037715</v>
      </c>
      <c r="T140" s="6">
        <v>0</v>
      </c>
      <c r="U140" s="6">
        <v>0.20045719</v>
      </c>
      <c r="V140" s="6">
        <v>0</v>
      </c>
      <c r="W140" s="6">
        <v>0.037286047</v>
      </c>
      <c r="X140" s="6">
        <v>0.046986663</v>
      </c>
      <c r="Y140" s="6">
        <v>0</v>
      </c>
      <c r="Z140" s="6">
        <v>0</v>
      </c>
      <c r="AA140" s="6">
        <v>0</v>
      </c>
    </row>
    <row r="141" ht="15" hidden="1" spans="1:27">
      <c r="A141" s="6" t="s">
        <v>226</v>
      </c>
      <c r="B141" s="7" t="s">
        <v>344</v>
      </c>
      <c r="C141" s="7" t="s">
        <v>341</v>
      </c>
      <c r="D141" s="7" t="s">
        <v>157</v>
      </c>
      <c r="E141" s="7" t="s">
        <v>372</v>
      </c>
      <c r="F141" s="6">
        <v>0.016152101</v>
      </c>
      <c r="G141" s="6">
        <v>0</v>
      </c>
      <c r="H141" s="6">
        <v>0</v>
      </c>
      <c r="I141" s="6">
        <v>0.032894728</v>
      </c>
      <c r="J141" s="6">
        <v>0</v>
      </c>
      <c r="K141" s="6">
        <v>0.087118026</v>
      </c>
      <c r="L141" s="6">
        <v>0</v>
      </c>
      <c r="M141" s="6">
        <v>0.036649348</v>
      </c>
      <c r="N141" s="6">
        <v>0.027714835</v>
      </c>
      <c r="O141" s="6">
        <v>0</v>
      </c>
      <c r="P141" s="6">
        <v>0</v>
      </c>
      <c r="Q141" s="6">
        <v>0</v>
      </c>
      <c r="R141" s="6">
        <v>0</v>
      </c>
      <c r="S141" s="6">
        <v>0.30999655</v>
      </c>
      <c r="T141" s="6">
        <v>0.040494441</v>
      </c>
      <c r="U141" s="6">
        <v>0.374382734</v>
      </c>
      <c r="V141" s="6">
        <v>0</v>
      </c>
      <c r="W141" s="6">
        <v>0</v>
      </c>
      <c r="X141" s="6">
        <v>0.074597237</v>
      </c>
      <c r="Y141" s="6">
        <v>0</v>
      </c>
      <c r="Z141" s="6">
        <v>0</v>
      </c>
      <c r="AA141" s="6">
        <v>0</v>
      </c>
    </row>
    <row r="142" ht="15" hidden="1" spans="1:27">
      <c r="A142" s="6" t="s">
        <v>283</v>
      </c>
      <c r="B142" s="7" t="s">
        <v>29</v>
      </c>
      <c r="C142" s="7" t="s">
        <v>341</v>
      </c>
      <c r="D142" s="7" t="s">
        <v>157</v>
      </c>
      <c r="E142" s="7" t="s">
        <v>372</v>
      </c>
      <c r="F142" s="6">
        <v>0.157610068</v>
      </c>
      <c r="G142" s="6">
        <v>0</v>
      </c>
      <c r="H142" s="6">
        <v>0</v>
      </c>
      <c r="I142" s="6">
        <v>0</v>
      </c>
      <c r="J142" s="6">
        <v>0</v>
      </c>
      <c r="K142" s="6">
        <v>0.20690535</v>
      </c>
      <c r="L142" s="6">
        <v>0</v>
      </c>
      <c r="M142" s="6">
        <v>0</v>
      </c>
      <c r="N142" s="6">
        <v>0.041587281</v>
      </c>
      <c r="O142" s="6">
        <v>0</v>
      </c>
      <c r="P142" s="6">
        <v>0</v>
      </c>
      <c r="Q142" s="6">
        <v>0.069833845</v>
      </c>
      <c r="R142" s="6">
        <v>0.017419542</v>
      </c>
      <c r="S142" s="6">
        <v>0.232341911</v>
      </c>
      <c r="T142" s="6">
        <v>0.012070418</v>
      </c>
      <c r="U142" s="6">
        <v>0.207826391</v>
      </c>
      <c r="V142" s="6">
        <v>0</v>
      </c>
      <c r="W142" s="6">
        <v>0.00717612</v>
      </c>
      <c r="X142" s="6">
        <v>0.047229073</v>
      </c>
      <c r="Y142" s="6">
        <v>0</v>
      </c>
      <c r="Z142" s="6">
        <v>0</v>
      </c>
      <c r="AA142" s="6">
        <v>0</v>
      </c>
    </row>
    <row r="143" ht="15" hidden="1" spans="1:27">
      <c r="A143" s="6" t="s">
        <v>243</v>
      </c>
      <c r="B143" s="7" t="s">
        <v>29</v>
      </c>
      <c r="C143" s="7" t="s">
        <v>341</v>
      </c>
      <c r="D143" s="7" t="s">
        <v>55</v>
      </c>
      <c r="E143" s="7" t="s">
        <v>372</v>
      </c>
      <c r="F143" s="6">
        <v>0</v>
      </c>
      <c r="G143" s="6">
        <v>0.0007</v>
      </c>
      <c r="H143" s="6">
        <v>0.0001</v>
      </c>
      <c r="I143" s="6">
        <v>0</v>
      </c>
      <c r="J143" s="6">
        <v>0</v>
      </c>
      <c r="K143" s="6">
        <v>0.004029338</v>
      </c>
      <c r="L143" s="6">
        <v>0</v>
      </c>
      <c r="M143" s="6">
        <v>0.016248647</v>
      </c>
      <c r="N143" s="6">
        <v>0</v>
      </c>
      <c r="O143" s="6">
        <v>0.009138116</v>
      </c>
      <c r="P143" s="6">
        <v>0.003203827</v>
      </c>
      <c r="Q143" s="6">
        <v>0</v>
      </c>
      <c r="R143" s="6">
        <v>0</v>
      </c>
      <c r="S143" s="6">
        <v>0.406993427</v>
      </c>
      <c r="T143" s="6">
        <v>0.022255071</v>
      </c>
      <c r="U143" s="6">
        <v>0.486829793</v>
      </c>
      <c r="V143" s="6">
        <v>0</v>
      </c>
      <c r="W143" s="6">
        <v>0</v>
      </c>
      <c r="X143" s="6">
        <v>0.050568665</v>
      </c>
      <c r="Y143" s="6">
        <v>0</v>
      </c>
      <c r="Z143" s="6">
        <v>0</v>
      </c>
      <c r="AA143" s="6">
        <v>0</v>
      </c>
    </row>
    <row r="144" ht="15" hidden="1" spans="1:27">
      <c r="A144" s="6" t="s">
        <v>156</v>
      </c>
      <c r="B144" s="7" t="s">
        <v>344</v>
      </c>
      <c r="C144" s="7" t="s">
        <v>341</v>
      </c>
      <c r="D144" s="7" t="s">
        <v>157</v>
      </c>
      <c r="E144" s="7" t="s">
        <v>372</v>
      </c>
      <c r="F144" s="6">
        <v>0.168486557</v>
      </c>
      <c r="G144" s="6">
        <v>0</v>
      </c>
      <c r="H144" s="6">
        <v>0</v>
      </c>
      <c r="I144" s="6">
        <v>0.061150756</v>
      </c>
      <c r="J144" s="6">
        <v>0</v>
      </c>
      <c r="K144" s="6">
        <v>0.128258988</v>
      </c>
      <c r="L144" s="6">
        <v>0</v>
      </c>
      <c r="M144" s="6">
        <v>0.025165315</v>
      </c>
      <c r="N144" s="6">
        <v>0</v>
      </c>
      <c r="O144" s="6">
        <v>0</v>
      </c>
      <c r="P144" s="6">
        <v>0</v>
      </c>
      <c r="Q144" s="6">
        <v>0.011275517</v>
      </c>
      <c r="R144" s="6">
        <v>0.040353164</v>
      </c>
      <c r="S144" s="6">
        <v>0.330864523</v>
      </c>
      <c r="T144" s="6">
        <v>0.002739573</v>
      </c>
      <c r="U144" s="6">
        <v>0.198416848</v>
      </c>
      <c r="V144" s="6">
        <v>0</v>
      </c>
      <c r="W144" s="6">
        <v>0.006294086</v>
      </c>
      <c r="X144" s="6">
        <v>0.026994675</v>
      </c>
      <c r="Y144" s="6">
        <v>0</v>
      </c>
      <c r="Z144" s="6">
        <v>0</v>
      </c>
      <c r="AA144" s="6">
        <v>0</v>
      </c>
    </row>
    <row r="145" ht="15" hidden="1" spans="1:27">
      <c r="A145" s="6" t="s">
        <v>23</v>
      </c>
      <c r="B145" s="7" t="s">
        <v>344</v>
      </c>
      <c r="C145" s="7" t="s">
        <v>344</v>
      </c>
      <c r="D145" s="7" t="s">
        <v>24</v>
      </c>
      <c r="E145" s="7" t="s">
        <v>372</v>
      </c>
      <c r="F145" s="6">
        <v>0.152510975</v>
      </c>
      <c r="G145" s="6">
        <v>0</v>
      </c>
      <c r="H145" s="6">
        <v>0</v>
      </c>
      <c r="I145" s="6">
        <v>0</v>
      </c>
      <c r="J145" s="6">
        <v>0</v>
      </c>
      <c r="K145" s="6">
        <v>0.146122732</v>
      </c>
      <c r="L145" s="6">
        <v>0</v>
      </c>
      <c r="M145" s="6">
        <v>0</v>
      </c>
      <c r="N145" s="6">
        <v>0.20010165</v>
      </c>
      <c r="O145" s="6">
        <v>0</v>
      </c>
      <c r="P145" s="6">
        <v>0.00497048</v>
      </c>
      <c r="Q145" s="6">
        <v>0.026143618</v>
      </c>
      <c r="R145" s="6">
        <v>0.012797649</v>
      </c>
      <c r="S145" s="6">
        <v>0.304301287</v>
      </c>
      <c r="T145" s="6">
        <v>0.0007</v>
      </c>
      <c r="U145" s="6">
        <v>0.152313826</v>
      </c>
      <c r="V145" s="6">
        <v>0</v>
      </c>
      <c r="W145" s="6">
        <v>0</v>
      </c>
      <c r="X145" s="6">
        <v>0</v>
      </c>
      <c r="Y145" s="6">
        <v>0</v>
      </c>
      <c r="Z145" s="6">
        <v>0</v>
      </c>
      <c r="AA145" s="6">
        <v>0</v>
      </c>
    </row>
    <row r="146" ht="15" hidden="1" spans="1:27">
      <c r="A146" s="6" t="s">
        <v>151</v>
      </c>
      <c r="B146" s="7" t="s">
        <v>344</v>
      </c>
      <c r="C146" s="7" t="s">
        <v>341</v>
      </c>
      <c r="D146" s="7" t="s">
        <v>18</v>
      </c>
      <c r="E146" s="7" t="s">
        <v>372</v>
      </c>
      <c r="F146" s="6">
        <v>0.010949933</v>
      </c>
      <c r="G146" s="6">
        <v>0</v>
      </c>
      <c r="H146" s="6">
        <v>0</v>
      </c>
      <c r="I146" s="6">
        <v>0</v>
      </c>
      <c r="J146" s="6">
        <v>0.045648819</v>
      </c>
      <c r="K146" s="6">
        <v>0.074050601</v>
      </c>
      <c r="L146" s="6">
        <v>0</v>
      </c>
      <c r="M146" s="6">
        <v>0</v>
      </c>
      <c r="N146" s="6">
        <v>0</v>
      </c>
      <c r="O146" s="6">
        <v>0</v>
      </c>
      <c r="P146" s="6">
        <v>0.017146773</v>
      </c>
      <c r="Q146" s="6">
        <v>0</v>
      </c>
      <c r="R146" s="6">
        <v>0</v>
      </c>
      <c r="S146" s="6">
        <v>0.333174108</v>
      </c>
      <c r="T146" s="6">
        <v>0</v>
      </c>
      <c r="U146" s="6">
        <v>0.380607382</v>
      </c>
      <c r="V146" s="6">
        <v>0</v>
      </c>
      <c r="W146" s="6">
        <v>0.008571139</v>
      </c>
      <c r="X146" s="6">
        <v>0.129851245</v>
      </c>
      <c r="Y146" s="6">
        <v>0</v>
      </c>
      <c r="Z146" s="6">
        <v>0</v>
      </c>
      <c r="AA146" s="6">
        <v>0</v>
      </c>
    </row>
    <row r="147" ht="15" hidden="1" spans="1:27">
      <c r="A147" s="6" t="s">
        <v>299</v>
      </c>
      <c r="B147" s="7" t="s">
        <v>344</v>
      </c>
      <c r="C147" s="7" t="s">
        <v>341</v>
      </c>
      <c r="D147" s="7" t="s">
        <v>55</v>
      </c>
      <c r="E147" s="7" t="s">
        <v>372</v>
      </c>
      <c r="F147" s="6">
        <v>0.02149916</v>
      </c>
      <c r="G147" s="6">
        <v>0</v>
      </c>
      <c r="H147" s="6">
        <v>0</v>
      </c>
      <c r="I147" s="6">
        <v>0</v>
      </c>
      <c r="J147" s="6">
        <v>0</v>
      </c>
      <c r="K147" s="6">
        <v>0.045447446</v>
      </c>
      <c r="L147" s="6">
        <v>0.003401607</v>
      </c>
      <c r="M147" s="6">
        <v>0.002179783</v>
      </c>
      <c r="N147" s="6">
        <v>0.010510454</v>
      </c>
      <c r="O147" s="6">
        <v>0.016064567</v>
      </c>
      <c r="P147" s="6">
        <v>0.001325109</v>
      </c>
      <c r="Q147" s="6">
        <v>0</v>
      </c>
      <c r="R147" s="6">
        <v>0</v>
      </c>
      <c r="S147" s="6">
        <v>0.466425913</v>
      </c>
      <c r="T147" s="6">
        <v>0.001141987</v>
      </c>
      <c r="U147" s="6">
        <v>0.384151148</v>
      </c>
      <c r="V147" s="6">
        <v>0</v>
      </c>
      <c r="W147" s="6">
        <v>0.011112633</v>
      </c>
      <c r="X147" s="6">
        <v>0.036740194</v>
      </c>
      <c r="Y147" s="6">
        <v>0</v>
      </c>
      <c r="Z147" s="6">
        <v>0</v>
      </c>
      <c r="AA147" s="6">
        <v>0</v>
      </c>
    </row>
    <row r="148" ht="15" hidden="1" spans="1:27">
      <c r="A148" s="6" t="s">
        <v>201</v>
      </c>
      <c r="B148" s="7" t="s">
        <v>29</v>
      </c>
      <c r="C148" s="7" t="s">
        <v>341</v>
      </c>
      <c r="D148" s="7" t="s">
        <v>202</v>
      </c>
      <c r="E148" s="7" t="s">
        <v>372</v>
      </c>
      <c r="F148" s="6">
        <v>0.06652623</v>
      </c>
      <c r="G148" s="6">
        <v>0</v>
      </c>
      <c r="H148" s="6">
        <v>0</v>
      </c>
      <c r="I148" s="6">
        <v>0.010636701</v>
      </c>
      <c r="J148" s="6">
        <v>0</v>
      </c>
      <c r="K148" s="6">
        <v>0.080773259</v>
      </c>
      <c r="L148" s="6">
        <v>0</v>
      </c>
      <c r="M148" s="6">
        <v>0</v>
      </c>
      <c r="N148" s="6">
        <v>0.043631651</v>
      </c>
      <c r="O148" s="6">
        <v>0</v>
      </c>
      <c r="P148" s="6">
        <v>0</v>
      </c>
      <c r="Q148" s="6">
        <v>0.035758372</v>
      </c>
      <c r="R148" s="6">
        <v>0</v>
      </c>
      <c r="S148" s="6">
        <v>0.273718177</v>
      </c>
      <c r="T148" s="6">
        <v>0</v>
      </c>
      <c r="U148" s="6">
        <v>0.151660909</v>
      </c>
      <c r="V148" s="6">
        <v>0</v>
      </c>
      <c r="W148" s="6">
        <v>0</v>
      </c>
      <c r="X148" s="6">
        <v>0.337294699</v>
      </c>
      <c r="Y148" s="6">
        <v>0</v>
      </c>
      <c r="Z148" s="6">
        <v>0</v>
      </c>
      <c r="AA148" s="6">
        <v>0</v>
      </c>
    </row>
    <row r="149" ht="15" hidden="1" spans="1:27">
      <c r="A149" s="6" t="s">
        <v>191</v>
      </c>
      <c r="B149" s="7" t="s">
        <v>344</v>
      </c>
      <c r="C149" s="7" t="s">
        <v>341</v>
      </c>
      <c r="D149" s="7" t="s">
        <v>18</v>
      </c>
      <c r="E149" s="7" t="s">
        <v>372</v>
      </c>
      <c r="F149" s="6">
        <v>0.070703742</v>
      </c>
      <c r="G149" s="6">
        <v>0</v>
      </c>
      <c r="H149" s="6">
        <v>0</v>
      </c>
      <c r="I149" s="6">
        <v>0.003213283</v>
      </c>
      <c r="J149" s="6">
        <v>0</v>
      </c>
      <c r="K149" s="6">
        <v>0.146705054</v>
      </c>
      <c r="L149" s="6">
        <v>0</v>
      </c>
      <c r="M149" s="6">
        <v>0</v>
      </c>
      <c r="N149" s="6">
        <v>0</v>
      </c>
      <c r="O149" s="6">
        <v>0</v>
      </c>
      <c r="P149" s="6">
        <v>0.028114196</v>
      </c>
      <c r="Q149" s="6">
        <v>0</v>
      </c>
      <c r="R149" s="6">
        <v>0.00301587</v>
      </c>
      <c r="S149" s="6">
        <v>0.459399203</v>
      </c>
      <c r="T149" s="6">
        <v>0.007021705</v>
      </c>
      <c r="U149" s="6">
        <v>0.187833499</v>
      </c>
      <c r="V149" s="6">
        <v>0</v>
      </c>
      <c r="W149" s="6">
        <v>0</v>
      </c>
      <c r="X149" s="6">
        <v>0.093215377</v>
      </c>
      <c r="Y149" s="6">
        <v>0</v>
      </c>
      <c r="Z149" s="6">
        <v>0.0008</v>
      </c>
      <c r="AA149" s="6">
        <v>0</v>
      </c>
    </row>
    <row r="150" ht="15" spans="1:27">
      <c r="A150" s="6" t="s">
        <v>122</v>
      </c>
      <c r="B150" s="7" t="s">
        <v>29</v>
      </c>
      <c r="C150" s="7" t="s">
        <v>29</v>
      </c>
      <c r="D150" s="7" t="s">
        <v>123</v>
      </c>
      <c r="E150" s="7" t="s">
        <v>372</v>
      </c>
      <c r="F150" s="6">
        <v>0.036419159</v>
      </c>
      <c r="G150" s="6">
        <v>0</v>
      </c>
      <c r="H150" s="6">
        <v>0</v>
      </c>
      <c r="I150" s="6">
        <v>0.098223303</v>
      </c>
      <c r="J150" s="6">
        <v>0</v>
      </c>
      <c r="K150" s="6">
        <v>0.142699482</v>
      </c>
      <c r="L150" s="6">
        <v>0</v>
      </c>
      <c r="M150" s="6">
        <v>0.015264893</v>
      </c>
      <c r="N150" s="6">
        <v>0.076361552</v>
      </c>
      <c r="O150" s="6">
        <v>0</v>
      </c>
      <c r="P150" s="6">
        <v>0</v>
      </c>
      <c r="Q150" s="6">
        <v>0.034604873</v>
      </c>
      <c r="R150" s="6">
        <v>0</v>
      </c>
      <c r="S150" s="6">
        <v>0.490296468</v>
      </c>
      <c r="T150" s="6">
        <v>0</v>
      </c>
      <c r="U150" s="6">
        <v>0.086649987</v>
      </c>
      <c r="V150" s="6">
        <v>0</v>
      </c>
      <c r="W150" s="6">
        <v>0</v>
      </c>
      <c r="X150" s="6">
        <v>0.019480285</v>
      </c>
      <c r="Y150" s="6">
        <v>0</v>
      </c>
      <c r="Z150" s="6">
        <v>0</v>
      </c>
      <c r="AA150" s="6">
        <v>0</v>
      </c>
    </row>
    <row r="151" ht="15" hidden="1" spans="1:27">
      <c r="A151" s="6" t="s">
        <v>141</v>
      </c>
      <c r="B151" s="7" t="s">
        <v>341</v>
      </c>
      <c r="C151" s="7" t="s">
        <v>341</v>
      </c>
      <c r="D151" s="7" t="s">
        <v>31</v>
      </c>
      <c r="E151" s="7" t="s">
        <v>373</v>
      </c>
      <c r="F151" s="6">
        <v>0.209446583</v>
      </c>
      <c r="G151" s="6">
        <v>0.109569383</v>
      </c>
      <c r="H151" s="6">
        <v>0.140734522</v>
      </c>
      <c r="I151" s="6">
        <v>0.062744291</v>
      </c>
      <c r="J151" s="6">
        <v>0</v>
      </c>
      <c r="K151" s="6">
        <v>0.137389588</v>
      </c>
      <c r="L151" s="6">
        <v>0</v>
      </c>
      <c r="M151" s="6">
        <v>0.038741714</v>
      </c>
      <c r="N151" s="6">
        <v>0.030473467</v>
      </c>
      <c r="O151" s="6">
        <v>0</v>
      </c>
      <c r="P151" s="6">
        <v>0</v>
      </c>
      <c r="Q151" s="6">
        <v>0.016954425</v>
      </c>
      <c r="R151" s="6">
        <v>0.006955877</v>
      </c>
      <c r="S151" s="6">
        <v>0.051008744</v>
      </c>
      <c r="T151" s="6">
        <v>0.012799207</v>
      </c>
      <c r="U151" s="6">
        <v>0.132732341</v>
      </c>
      <c r="V151" s="6">
        <v>0</v>
      </c>
      <c r="W151" s="6">
        <v>0</v>
      </c>
      <c r="X151" s="6">
        <v>0.050449858</v>
      </c>
      <c r="Y151" s="6">
        <v>0</v>
      </c>
      <c r="Z151" s="6">
        <v>0</v>
      </c>
      <c r="AA151" s="6">
        <v>0</v>
      </c>
    </row>
    <row r="152" ht="15" hidden="1" spans="1:27">
      <c r="A152" s="6" t="s">
        <v>336</v>
      </c>
      <c r="B152" s="7" t="s">
        <v>344</v>
      </c>
      <c r="C152" s="7" t="s">
        <v>341</v>
      </c>
      <c r="D152" s="7" t="s">
        <v>31</v>
      </c>
      <c r="E152" s="7" t="s">
        <v>373</v>
      </c>
      <c r="F152" s="6">
        <v>0.061718711</v>
      </c>
      <c r="G152" s="6">
        <v>0</v>
      </c>
      <c r="H152" s="6">
        <v>0.012605696</v>
      </c>
      <c r="I152" s="6">
        <v>0.24712161</v>
      </c>
      <c r="J152" s="6">
        <v>0</v>
      </c>
      <c r="K152" s="6">
        <v>0.085805263</v>
      </c>
      <c r="L152" s="6">
        <v>0</v>
      </c>
      <c r="M152" s="6">
        <v>0.023583028</v>
      </c>
      <c r="N152" s="6">
        <v>0.046959038</v>
      </c>
      <c r="O152" s="6">
        <v>0</v>
      </c>
      <c r="P152" s="6">
        <v>0</v>
      </c>
      <c r="Q152" s="6">
        <v>0.019376206</v>
      </c>
      <c r="R152" s="6">
        <v>0.069580799</v>
      </c>
      <c r="S152" s="6">
        <v>0</v>
      </c>
      <c r="T152" s="6">
        <v>0.069498494</v>
      </c>
      <c r="U152" s="6">
        <v>0.342873738</v>
      </c>
      <c r="V152" s="6">
        <v>0</v>
      </c>
      <c r="W152" s="6">
        <v>0</v>
      </c>
      <c r="X152" s="6">
        <v>0.020877417</v>
      </c>
      <c r="Y152" s="6">
        <v>0</v>
      </c>
      <c r="Z152" s="6">
        <v>0</v>
      </c>
      <c r="AA152" s="6">
        <v>0</v>
      </c>
    </row>
    <row r="153" ht="15" hidden="1" spans="1:27">
      <c r="A153" s="6" t="s">
        <v>270</v>
      </c>
      <c r="B153" s="7" t="s">
        <v>29</v>
      </c>
      <c r="C153" s="7" t="s">
        <v>341</v>
      </c>
      <c r="D153" s="7" t="s">
        <v>18</v>
      </c>
      <c r="E153" s="7" t="s">
        <v>373</v>
      </c>
      <c r="F153" s="6">
        <v>0.080887804</v>
      </c>
      <c r="G153" s="6">
        <v>0</v>
      </c>
      <c r="H153" s="6">
        <v>0.018337427</v>
      </c>
      <c r="I153" s="6">
        <v>0.108159247</v>
      </c>
      <c r="J153" s="6">
        <v>0</v>
      </c>
      <c r="K153" s="6">
        <v>0.160651807</v>
      </c>
      <c r="L153" s="6">
        <v>0</v>
      </c>
      <c r="M153" s="6">
        <v>0</v>
      </c>
      <c r="N153" s="6">
        <v>0.007642526</v>
      </c>
      <c r="O153" s="6">
        <v>0</v>
      </c>
      <c r="P153" s="6">
        <v>0</v>
      </c>
      <c r="Q153" s="6">
        <v>0.024323224</v>
      </c>
      <c r="R153" s="6">
        <v>0.087546227</v>
      </c>
      <c r="S153" s="6">
        <v>0.003673287</v>
      </c>
      <c r="T153" s="6">
        <v>0.035267749</v>
      </c>
      <c r="U153" s="6">
        <v>0.188072907</v>
      </c>
      <c r="V153" s="6">
        <v>0</v>
      </c>
      <c r="W153" s="6">
        <v>0.003437381</v>
      </c>
      <c r="X153" s="6">
        <v>0.282000413</v>
      </c>
      <c r="Y153" s="6">
        <v>0</v>
      </c>
      <c r="Z153" s="6">
        <v>0</v>
      </c>
      <c r="AA153" s="6">
        <v>0</v>
      </c>
    </row>
    <row r="154" ht="15" hidden="1" spans="1:27">
      <c r="A154" s="6" t="s">
        <v>247</v>
      </c>
      <c r="B154" s="7" t="s">
        <v>344</v>
      </c>
      <c r="C154" s="7" t="s">
        <v>341</v>
      </c>
      <c r="D154" s="7" t="s">
        <v>18</v>
      </c>
      <c r="E154" s="7" t="s">
        <v>373</v>
      </c>
      <c r="F154" s="6">
        <v>0.005482492</v>
      </c>
      <c r="G154" s="6">
        <v>0.006193357</v>
      </c>
      <c r="H154" s="6">
        <v>0.02097874</v>
      </c>
      <c r="I154" s="6">
        <v>0.028260364</v>
      </c>
      <c r="J154" s="6">
        <v>0</v>
      </c>
      <c r="K154" s="6">
        <v>0.372142992</v>
      </c>
      <c r="L154" s="6">
        <v>0</v>
      </c>
      <c r="M154" s="6">
        <v>0</v>
      </c>
      <c r="N154" s="6">
        <v>0</v>
      </c>
      <c r="O154" s="6">
        <v>0</v>
      </c>
      <c r="P154" s="6">
        <v>0.024494267</v>
      </c>
      <c r="Q154" s="6">
        <v>0.002414999</v>
      </c>
      <c r="R154" s="6">
        <v>0.048180709</v>
      </c>
      <c r="S154" s="6">
        <v>0.044270595</v>
      </c>
      <c r="T154" s="6">
        <v>0</v>
      </c>
      <c r="U154" s="6">
        <v>0.233990932</v>
      </c>
      <c r="V154" s="6">
        <v>0</v>
      </c>
      <c r="W154" s="6">
        <v>0.0159454</v>
      </c>
      <c r="X154" s="6">
        <v>0.197645152</v>
      </c>
      <c r="Y154" s="6">
        <v>0</v>
      </c>
      <c r="Z154" s="6">
        <v>0</v>
      </c>
      <c r="AA154" s="6">
        <v>0</v>
      </c>
    </row>
    <row r="155" ht="15" hidden="1" spans="1:27">
      <c r="A155" s="6" t="s">
        <v>250</v>
      </c>
      <c r="B155" s="7" t="s">
        <v>344</v>
      </c>
      <c r="C155" s="7" t="s">
        <v>344</v>
      </c>
      <c r="D155" s="7" t="s">
        <v>181</v>
      </c>
      <c r="E155" s="7" t="s">
        <v>373</v>
      </c>
      <c r="F155" s="6">
        <v>0.187931476</v>
      </c>
      <c r="G155" s="6">
        <v>0</v>
      </c>
      <c r="H155" s="6">
        <v>0.018761205</v>
      </c>
      <c r="I155" s="6">
        <v>0.194815408</v>
      </c>
      <c r="J155" s="6">
        <v>0</v>
      </c>
      <c r="K155" s="6">
        <v>0.154166131</v>
      </c>
      <c r="L155" s="6">
        <v>0.005901746</v>
      </c>
      <c r="M155" s="6">
        <v>0</v>
      </c>
      <c r="N155" s="6">
        <v>0.075364415</v>
      </c>
      <c r="O155" s="6">
        <v>0</v>
      </c>
      <c r="P155" s="6">
        <v>0</v>
      </c>
      <c r="Q155" s="6">
        <v>0.019750233</v>
      </c>
      <c r="R155" s="6">
        <v>0.050840416</v>
      </c>
      <c r="S155" s="6">
        <v>0.045489831</v>
      </c>
      <c r="T155" s="6">
        <v>0.062899324</v>
      </c>
      <c r="U155" s="6">
        <v>0.180180087</v>
      </c>
      <c r="V155" s="6">
        <v>0</v>
      </c>
      <c r="W155" s="6">
        <v>0</v>
      </c>
      <c r="X155" s="6">
        <v>0.003899728</v>
      </c>
      <c r="Y155" s="6">
        <v>0</v>
      </c>
      <c r="Z155" s="6">
        <v>0</v>
      </c>
      <c r="AA155" s="6">
        <v>0</v>
      </c>
    </row>
    <row r="156" ht="15" hidden="1" spans="1:27">
      <c r="A156" s="6" t="s">
        <v>149</v>
      </c>
      <c r="B156" s="7" t="s">
        <v>344</v>
      </c>
      <c r="C156" s="7" t="s">
        <v>341</v>
      </c>
      <c r="D156" s="7" t="s">
        <v>18</v>
      </c>
      <c r="E156" s="7" t="s">
        <v>373</v>
      </c>
      <c r="F156" s="6">
        <v>0.103923113</v>
      </c>
      <c r="G156" s="6">
        <v>0</v>
      </c>
      <c r="H156" s="6">
        <v>0.101332686</v>
      </c>
      <c r="I156" s="6">
        <v>0.144815102</v>
      </c>
      <c r="J156" s="6">
        <v>0</v>
      </c>
      <c r="K156" s="6">
        <v>0.11629879</v>
      </c>
      <c r="L156" s="6">
        <v>0.014142425</v>
      </c>
      <c r="M156" s="6">
        <v>0.033486642</v>
      </c>
      <c r="N156" s="6">
        <v>0</v>
      </c>
      <c r="O156" s="6">
        <v>0</v>
      </c>
      <c r="P156" s="6">
        <v>0</v>
      </c>
      <c r="Q156" s="6">
        <v>0.043790777</v>
      </c>
      <c r="R156" s="6">
        <v>0.064064387</v>
      </c>
      <c r="S156" s="6">
        <v>0.086135583</v>
      </c>
      <c r="T156" s="6">
        <v>0.074180738</v>
      </c>
      <c r="U156" s="6">
        <v>0.179382895</v>
      </c>
      <c r="V156" s="6">
        <v>0.001008998</v>
      </c>
      <c r="W156" s="6">
        <v>0</v>
      </c>
      <c r="X156" s="6">
        <v>0.037437865</v>
      </c>
      <c r="Y156" s="6">
        <v>0</v>
      </c>
      <c r="Z156" s="6">
        <v>0</v>
      </c>
      <c r="AA156" s="6">
        <v>0</v>
      </c>
    </row>
    <row r="157" ht="15" hidden="1" spans="1:27">
      <c r="A157" s="6" t="s">
        <v>185</v>
      </c>
      <c r="B157" s="7" t="s">
        <v>344</v>
      </c>
      <c r="C157" s="7" t="s">
        <v>341</v>
      </c>
      <c r="D157" s="7" t="s">
        <v>18</v>
      </c>
      <c r="E157" s="7" t="s">
        <v>373</v>
      </c>
      <c r="F157" s="6">
        <v>0.10326043</v>
      </c>
      <c r="G157" s="6">
        <v>0</v>
      </c>
      <c r="H157" s="6">
        <v>0.029431771</v>
      </c>
      <c r="I157" s="6">
        <v>0.097496264</v>
      </c>
      <c r="J157" s="6">
        <v>0</v>
      </c>
      <c r="K157" s="6">
        <v>0.32440182</v>
      </c>
      <c r="L157" s="6">
        <v>0</v>
      </c>
      <c r="M157" s="6">
        <v>0</v>
      </c>
      <c r="N157" s="6">
        <v>0</v>
      </c>
      <c r="O157" s="6">
        <v>0</v>
      </c>
      <c r="P157" s="6">
        <v>0.004970291</v>
      </c>
      <c r="Q157" s="6">
        <v>0.00145833</v>
      </c>
      <c r="R157" s="6">
        <v>0.113099054</v>
      </c>
      <c r="S157" s="6">
        <v>0</v>
      </c>
      <c r="T157" s="6">
        <v>0.073105227</v>
      </c>
      <c r="U157" s="6">
        <v>0.231493778</v>
      </c>
      <c r="V157" s="6">
        <v>0</v>
      </c>
      <c r="W157" s="6">
        <v>0</v>
      </c>
      <c r="X157" s="6">
        <v>0.021283035</v>
      </c>
      <c r="Y157" s="6">
        <v>0</v>
      </c>
      <c r="Z157" s="6">
        <v>0</v>
      </c>
      <c r="AA157" s="6">
        <v>0</v>
      </c>
    </row>
    <row r="158" ht="15" hidden="1" spans="1:27">
      <c r="A158" s="6" t="s">
        <v>70</v>
      </c>
      <c r="B158" s="7" t="s">
        <v>344</v>
      </c>
      <c r="C158" s="7" t="s">
        <v>341</v>
      </c>
      <c r="D158" s="7" t="s">
        <v>18</v>
      </c>
      <c r="E158" s="7" t="s">
        <v>373</v>
      </c>
      <c r="F158" s="6">
        <v>0.10103054</v>
      </c>
      <c r="G158" s="6">
        <v>0</v>
      </c>
      <c r="H158" s="6">
        <v>0.061048946</v>
      </c>
      <c r="I158" s="6">
        <v>0</v>
      </c>
      <c r="J158" s="6">
        <v>0</v>
      </c>
      <c r="K158" s="6">
        <v>0.238468761</v>
      </c>
      <c r="L158" s="6">
        <v>0</v>
      </c>
      <c r="M158" s="6">
        <v>0.011716549</v>
      </c>
      <c r="N158" s="6">
        <v>0</v>
      </c>
      <c r="O158" s="6">
        <v>0</v>
      </c>
      <c r="P158" s="6">
        <v>0</v>
      </c>
      <c r="Q158" s="6">
        <v>0.064559379</v>
      </c>
      <c r="R158" s="6">
        <v>0.034810378</v>
      </c>
      <c r="S158" s="6">
        <v>0.137258926</v>
      </c>
      <c r="T158" s="6">
        <v>0.00610524</v>
      </c>
      <c r="U158" s="6">
        <v>0.150561511</v>
      </c>
      <c r="V158" s="6">
        <v>0</v>
      </c>
      <c r="W158" s="6">
        <v>0</v>
      </c>
      <c r="X158" s="6">
        <v>0.194439769</v>
      </c>
      <c r="Y158" s="6">
        <v>0</v>
      </c>
      <c r="Z158" s="6">
        <v>0</v>
      </c>
      <c r="AA158" s="6">
        <v>0</v>
      </c>
    </row>
    <row r="159" ht="15" hidden="1" spans="1:27">
      <c r="A159" s="6" t="s">
        <v>188</v>
      </c>
      <c r="B159" s="7" t="s">
        <v>29</v>
      </c>
      <c r="C159" s="7" t="s">
        <v>341</v>
      </c>
      <c r="D159" s="7" t="s">
        <v>18</v>
      </c>
      <c r="E159" s="7" t="s">
        <v>373</v>
      </c>
      <c r="F159" s="6">
        <v>0.024269908</v>
      </c>
      <c r="G159" s="6">
        <v>0</v>
      </c>
      <c r="H159" s="6">
        <v>0.005420682</v>
      </c>
      <c r="I159" s="6">
        <v>0.033226769</v>
      </c>
      <c r="J159" s="6">
        <v>0</v>
      </c>
      <c r="K159" s="6">
        <v>0.132868096</v>
      </c>
      <c r="L159" s="6">
        <v>0.003260582</v>
      </c>
      <c r="M159" s="6">
        <v>0</v>
      </c>
      <c r="N159" s="6">
        <v>0</v>
      </c>
      <c r="O159" s="6">
        <v>0</v>
      </c>
      <c r="P159" s="6">
        <v>0.035731647</v>
      </c>
      <c r="Q159" s="6">
        <v>0</v>
      </c>
      <c r="R159" s="6">
        <v>0</v>
      </c>
      <c r="S159" s="6">
        <v>0.142899475</v>
      </c>
      <c r="T159" s="6">
        <v>0</v>
      </c>
      <c r="U159" s="6">
        <v>0.225384887</v>
      </c>
      <c r="V159" s="6">
        <v>0</v>
      </c>
      <c r="W159" s="6">
        <v>0.164717414</v>
      </c>
      <c r="X159" s="6">
        <v>0</v>
      </c>
      <c r="Y159" s="6">
        <v>0.178778659</v>
      </c>
      <c r="Z159" s="6">
        <v>0.0006</v>
      </c>
      <c r="AA159" s="6">
        <v>0.052856432</v>
      </c>
    </row>
    <row r="160" ht="15" hidden="1" spans="1:27">
      <c r="A160" s="6" t="s">
        <v>268</v>
      </c>
      <c r="B160" s="7" t="s">
        <v>29</v>
      </c>
      <c r="C160" s="7" t="s">
        <v>341</v>
      </c>
      <c r="D160" s="7" t="s">
        <v>18</v>
      </c>
      <c r="E160" s="7" t="s">
        <v>373</v>
      </c>
      <c r="F160" s="6">
        <v>0.066411253</v>
      </c>
      <c r="G160" s="6">
        <v>0</v>
      </c>
      <c r="H160" s="6">
        <v>0</v>
      </c>
      <c r="I160" s="6">
        <v>0.016625365</v>
      </c>
      <c r="J160" s="6">
        <v>0</v>
      </c>
      <c r="K160" s="6">
        <v>0.204280197</v>
      </c>
      <c r="L160" s="6">
        <v>0</v>
      </c>
      <c r="M160" s="6">
        <v>0.027025994</v>
      </c>
      <c r="N160" s="6">
        <v>0.024346845</v>
      </c>
      <c r="O160" s="6">
        <v>0</v>
      </c>
      <c r="P160" s="6">
        <v>0</v>
      </c>
      <c r="Q160" s="6">
        <v>0.017206513</v>
      </c>
      <c r="R160" s="6">
        <v>0.012643209</v>
      </c>
      <c r="S160" s="6">
        <v>0.123307152</v>
      </c>
      <c r="T160" s="6">
        <v>0.120070492</v>
      </c>
      <c r="U160" s="6">
        <v>0.291909598</v>
      </c>
      <c r="V160" s="6">
        <v>0</v>
      </c>
      <c r="W160" s="6">
        <v>0</v>
      </c>
      <c r="X160" s="6">
        <v>0.096173381</v>
      </c>
      <c r="Y160" s="6">
        <v>0</v>
      </c>
      <c r="Z160" s="6">
        <v>0</v>
      </c>
      <c r="AA160" s="6">
        <v>0</v>
      </c>
    </row>
    <row r="161" ht="15" hidden="1" spans="1:27">
      <c r="A161" s="6" t="s">
        <v>322</v>
      </c>
      <c r="B161" s="7" t="s">
        <v>344</v>
      </c>
      <c r="C161" s="7" t="s">
        <v>341</v>
      </c>
      <c r="D161" s="7" t="s">
        <v>18</v>
      </c>
      <c r="E161" s="7" t="s">
        <v>373</v>
      </c>
      <c r="F161" s="6">
        <v>0.05214983</v>
      </c>
      <c r="G161" s="6">
        <v>0</v>
      </c>
      <c r="H161" s="6">
        <v>0.014248649</v>
      </c>
      <c r="I161" s="6">
        <v>0.105542918</v>
      </c>
      <c r="J161" s="6">
        <v>0</v>
      </c>
      <c r="K161" s="6">
        <v>0.155195709</v>
      </c>
      <c r="L161" s="6">
        <v>0.006477542</v>
      </c>
      <c r="M161" s="6">
        <v>0</v>
      </c>
      <c r="N161" s="6">
        <v>0.007531207</v>
      </c>
      <c r="O161" s="6">
        <v>0</v>
      </c>
      <c r="P161" s="6">
        <v>0</v>
      </c>
      <c r="Q161" s="6">
        <v>0.015804563</v>
      </c>
      <c r="R161" s="6">
        <v>0.069361402</v>
      </c>
      <c r="S161" s="6">
        <v>0.024364924</v>
      </c>
      <c r="T161" s="6">
        <v>0.02954587</v>
      </c>
      <c r="U161" s="6">
        <v>0.296847718</v>
      </c>
      <c r="V161" s="6">
        <v>0</v>
      </c>
      <c r="W161" s="6">
        <v>0.019632581</v>
      </c>
      <c r="X161" s="6">
        <v>0.199677575</v>
      </c>
      <c r="Y161" s="6">
        <v>0</v>
      </c>
      <c r="Z161" s="6">
        <v>0</v>
      </c>
      <c r="AA161" s="6">
        <v>0.003619513</v>
      </c>
    </row>
    <row r="162" ht="15" hidden="1" spans="1:27">
      <c r="A162" s="6" t="s">
        <v>235</v>
      </c>
      <c r="B162" s="7" t="s">
        <v>344</v>
      </c>
      <c r="C162" s="7" t="s">
        <v>341</v>
      </c>
      <c r="D162" s="7" t="s">
        <v>18</v>
      </c>
      <c r="E162" s="7" t="s">
        <v>373</v>
      </c>
      <c r="F162" s="6">
        <v>0.056995521</v>
      </c>
      <c r="G162" s="6">
        <v>0</v>
      </c>
      <c r="H162" s="6">
        <v>0</v>
      </c>
      <c r="I162" s="6">
        <v>0.014713454</v>
      </c>
      <c r="J162" s="6">
        <v>0</v>
      </c>
      <c r="K162" s="6">
        <v>0.235856172</v>
      </c>
      <c r="L162" s="6">
        <v>0</v>
      </c>
      <c r="M162" s="6">
        <v>0.00997085</v>
      </c>
      <c r="N162" s="6">
        <v>0.022467695</v>
      </c>
      <c r="O162" s="6">
        <v>0</v>
      </c>
      <c r="P162" s="6">
        <v>0</v>
      </c>
      <c r="Q162" s="6">
        <v>0.047687385</v>
      </c>
      <c r="R162" s="6">
        <v>0.017516397</v>
      </c>
      <c r="S162" s="6">
        <v>0.17569663</v>
      </c>
      <c r="T162" s="6">
        <v>0.007679437</v>
      </c>
      <c r="U162" s="6">
        <v>0.303725453</v>
      </c>
      <c r="V162" s="6">
        <v>0</v>
      </c>
      <c r="W162" s="6">
        <v>0.06057356</v>
      </c>
      <c r="X162" s="6">
        <v>0.047117447</v>
      </c>
      <c r="Y162" s="6">
        <v>0</v>
      </c>
      <c r="Z162" s="6">
        <v>0</v>
      </c>
      <c r="AA162" s="6">
        <v>0</v>
      </c>
    </row>
    <row r="163" ht="15" hidden="1" spans="1:27">
      <c r="A163" s="6" t="s">
        <v>326</v>
      </c>
      <c r="B163" s="7" t="s">
        <v>344</v>
      </c>
      <c r="C163" s="7" t="s">
        <v>341</v>
      </c>
      <c r="D163" s="7" t="s">
        <v>18</v>
      </c>
      <c r="E163" s="7" t="s">
        <v>373</v>
      </c>
      <c r="F163" s="6">
        <v>0.170209453</v>
      </c>
      <c r="G163" s="6">
        <v>0</v>
      </c>
      <c r="H163" s="6">
        <v>0.167087761</v>
      </c>
      <c r="I163" s="6">
        <v>0.001276089</v>
      </c>
      <c r="J163" s="6">
        <v>0</v>
      </c>
      <c r="K163" s="6">
        <v>0.311362887</v>
      </c>
      <c r="L163" s="6">
        <v>0</v>
      </c>
      <c r="M163" s="6">
        <v>0</v>
      </c>
      <c r="N163" s="6">
        <v>0</v>
      </c>
      <c r="O163" s="6">
        <v>0.016702137</v>
      </c>
      <c r="P163" s="6">
        <v>0.007718566</v>
      </c>
      <c r="Q163" s="6">
        <v>0</v>
      </c>
      <c r="R163" s="6">
        <v>0.091821481</v>
      </c>
      <c r="S163" s="6">
        <v>0</v>
      </c>
      <c r="T163" s="6">
        <v>0.004941379</v>
      </c>
      <c r="U163" s="6">
        <v>0.057740118</v>
      </c>
      <c r="V163" s="6">
        <v>0</v>
      </c>
      <c r="W163" s="6">
        <v>0.016776524</v>
      </c>
      <c r="X163" s="6">
        <v>0</v>
      </c>
      <c r="Y163" s="6">
        <v>0.143924315</v>
      </c>
      <c r="Z163" s="6">
        <v>0.010439289</v>
      </c>
      <c r="AA163" s="6">
        <v>0</v>
      </c>
    </row>
    <row r="164" ht="15" spans="1:27">
      <c r="A164" s="6" t="s">
        <v>342</v>
      </c>
      <c r="B164" s="7" t="s">
        <v>29</v>
      </c>
      <c r="C164" s="7" t="s">
        <v>29</v>
      </c>
      <c r="D164" s="7" t="s">
        <v>31</v>
      </c>
      <c r="E164" s="7" t="s">
        <v>373</v>
      </c>
      <c r="F164" s="6">
        <v>0.10423855</v>
      </c>
      <c r="G164" s="6">
        <v>0</v>
      </c>
      <c r="H164" s="6">
        <v>0.042774369</v>
      </c>
      <c r="I164" s="6">
        <v>0.024298</v>
      </c>
      <c r="J164" s="6">
        <v>0</v>
      </c>
      <c r="K164" s="6">
        <v>0.186998049</v>
      </c>
      <c r="L164" s="6">
        <v>0</v>
      </c>
      <c r="M164" s="6">
        <v>0</v>
      </c>
      <c r="N164" s="6">
        <v>0.028766407</v>
      </c>
      <c r="O164" s="6">
        <v>0</v>
      </c>
      <c r="P164" s="6">
        <v>0.019987023</v>
      </c>
      <c r="Q164" s="6">
        <v>0.05150049</v>
      </c>
      <c r="R164" s="6">
        <v>0.053719276</v>
      </c>
      <c r="S164" s="6">
        <v>0.087533017</v>
      </c>
      <c r="T164" s="6">
        <v>0.05471639</v>
      </c>
      <c r="U164" s="6">
        <v>0.302701586</v>
      </c>
      <c r="V164" s="6">
        <v>0</v>
      </c>
      <c r="W164" s="6">
        <v>0</v>
      </c>
      <c r="X164" s="6">
        <v>0.042766841</v>
      </c>
      <c r="Y164" s="6">
        <v>0</v>
      </c>
      <c r="Z164" s="6">
        <v>0</v>
      </c>
      <c r="AA164" s="6">
        <v>0</v>
      </c>
    </row>
    <row r="165" ht="15" hidden="1" spans="1:27">
      <c r="A165" s="6" t="s">
        <v>33</v>
      </c>
      <c r="B165" s="7" t="s">
        <v>341</v>
      </c>
      <c r="C165" s="7" t="s">
        <v>344</v>
      </c>
      <c r="D165" s="7" t="s">
        <v>31</v>
      </c>
      <c r="E165" s="7" t="s">
        <v>373</v>
      </c>
      <c r="F165" s="6">
        <v>0.243589172</v>
      </c>
      <c r="G165" s="6">
        <v>0</v>
      </c>
      <c r="H165" s="6">
        <v>0</v>
      </c>
      <c r="I165" s="6">
        <v>0.012589079</v>
      </c>
      <c r="J165" s="6">
        <v>0</v>
      </c>
      <c r="K165" s="6">
        <v>0.169717155</v>
      </c>
      <c r="L165" s="6">
        <v>0</v>
      </c>
      <c r="M165" s="6">
        <v>0</v>
      </c>
      <c r="N165" s="6">
        <v>0</v>
      </c>
      <c r="O165" s="6">
        <v>0</v>
      </c>
      <c r="P165" s="6">
        <v>0</v>
      </c>
      <c r="Q165" s="6">
        <v>0.026246487</v>
      </c>
      <c r="R165" s="6">
        <v>0.091525163</v>
      </c>
      <c r="S165" s="6">
        <v>0</v>
      </c>
      <c r="T165" s="6">
        <v>0.022095684</v>
      </c>
      <c r="U165" s="6">
        <v>0.327810534</v>
      </c>
      <c r="V165" s="6">
        <v>0</v>
      </c>
      <c r="W165" s="6">
        <v>0.012796499</v>
      </c>
      <c r="X165" s="6">
        <v>0.093630227</v>
      </c>
      <c r="Y165" s="6">
        <v>0</v>
      </c>
      <c r="Z165" s="6">
        <v>0</v>
      </c>
      <c r="AA165" s="6">
        <v>0</v>
      </c>
    </row>
    <row r="166" ht="15" hidden="1" spans="1:27">
      <c r="A166" s="6" t="s">
        <v>48</v>
      </c>
      <c r="B166" s="7" t="s">
        <v>344</v>
      </c>
      <c r="C166" s="7" t="s">
        <v>344</v>
      </c>
      <c r="D166" s="7" t="s">
        <v>31</v>
      </c>
      <c r="E166" s="7" t="s">
        <v>373</v>
      </c>
      <c r="F166" s="6">
        <v>0.10109095</v>
      </c>
      <c r="G166" s="6">
        <v>0</v>
      </c>
      <c r="H166" s="6">
        <v>0.034649461</v>
      </c>
      <c r="I166" s="6">
        <v>0.144481751</v>
      </c>
      <c r="J166" s="6">
        <v>0</v>
      </c>
      <c r="K166" s="6">
        <v>0.103753855</v>
      </c>
      <c r="L166" s="6">
        <v>0.028059305</v>
      </c>
      <c r="M166" s="6">
        <v>0</v>
      </c>
      <c r="N166" s="6">
        <v>0.027112998</v>
      </c>
      <c r="O166" s="6">
        <v>0</v>
      </c>
      <c r="P166" s="6">
        <v>0.004261842</v>
      </c>
      <c r="Q166" s="6">
        <v>0</v>
      </c>
      <c r="R166" s="6">
        <v>0.039944077</v>
      </c>
      <c r="S166" s="6">
        <v>0</v>
      </c>
      <c r="T166" s="6">
        <v>0.123286816</v>
      </c>
      <c r="U166" s="6">
        <v>0.332096885</v>
      </c>
      <c r="V166" s="6">
        <v>0</v>
      </c>
      <c r="W166" s="6">
        <v>0.00271218</v>
      </c>
      <c r="X166" s="6">
        <v>0.058198329</v>
      </c>
      <c r="Y166" s="6">
        <v>0</v>
      </c>
      <c r="Z166" s="6">
        <v>0</v>
      </c>
      <c r="AA166" s="6">
        <v>0.0004</v>
      </c>
    </row>
    <row r="167" ht="15" hidden="1" spans="1:27">
      <c r="A167" s="6" t="s">
        <v>196</v>
      </c>
      <c r="B167" s="7" t="s">
        <v>341</v>
      </c>
      <c r="C167" s="7" t="s">
        <v>344</v>
      </c>
      <c r="D167" s="7" t="s">
        <v>31</v>
      </c>
      <c r="E167" s="7" t="s">
        <v>373</v>
      </c>
      <c r="F167" s="6">
        <v>0.012779212</v>
      </c>
      <c r="G167" s="6">
        <v>0</v>
      </c>
      <c r="H167" s="6">
        <v>0.02806115</v>
      </c>
      <c r="I167" s="6">
        <v>0.012423603</v>
      </c>
      <c r="J167" s="6">
        <v>0</v>
      </c>
      <c r="K167" s="6">
        <v>0.137251228</v>
      </c>
      <c r="L167" s="6">
        <v>0</v>
      </c>
      <c r="M167" s="6">
        <v>0</v>
      </c>
      <c r="N167" s="6">
        <v>0</v>
      </c>
      <c r="O167" s="6">
        <v>0</v>
      </c>
      <c r="P167" s="6">
        <v>0</v>
      </c>
      <c r="Q167" s="6">
        <v>0.038577627</v>
      </c>
      <c r="R167" s="6">
        <v>0.256836088</v>
      </c>
      <c r="S167" s="6">
        <v>0.105895915</v>
      </c>
      <c r="T167" s="6">
        <v>0</v>
      </c>
      <c r="U167" s="6">
        <v>0.303790259</v>
      </c>
      <c r="V167" s="6">
        <v>0</v>
      </c>
      <c r="W167" s="6">
        <v>0.015556551</v>
      </c>
      <c r="X167" s="6">
        <v>0.052952468</v>
      </c>
      <c r="Y167" s="6">
        <v>0</v>
      </c>
      <c r="Z167" s="6">
        <v>0</v>
      </c>
      <c r="AA167" s="6">
        <v>0.035875899</v>
      </c>
    </row>
    <row r="168" ht="15" spans="1:27">
      <c r="A168" s="6" t="s">
        <v>324</v>
      </c>
      <c r="B168" s="7" t="s">
        <v>29</v>
      </c>
      <c r="C168" s="7" t="s">
        <v>29</v>
      </c>
      <c r="D168" s="7" t="s">
        <v>31</v>
      </c>
      <c r="E168" s="7" t="s">
        <v>373</v>
      </c>
      <c r="F168" s="6">
        <v>0.041698449</v>
      </c>
      <c r="G168" s="6">
        <v>0</v>
      </c>
      <c r="H168" s="6">
        <v>0</v>
      </c>
      <c r="I168" s="6">
        <v>0.043843282</v>
      </c>
      <c r="J168" s="6">
        <v>0</v>
      </c>
      <c r="K168" s="6">
        <v>0.244311582</v>
      </c>
      <c r="L168" s="6">
        <v>0</v>
      </c>
      <c r="M168" s="6">
        <v>0.004455264</v>
      </c>
      <c r="N168" s="6">
        <v>0</v>
      </c>
      <c r="O168" s="6">
        <v>0</v>
      </c>
      <c r="P168" s="6">
        <v>0</v>
      </c>
      <c r="Q168" s="6">
        <v>0.072472239</v>
      </c>
      <c r="R168" s="6">
        <v>0.056811535</v>
      </c>
      <c r="S168" s="6">
        <v>0.082585571</v>
      </c>
      <c r="T168" s="6">
        <v>0.063117346</v>
      </c>
      <c r="U168" s="6">
        <v>0.154187435</v>
      </c>
      <c r="V168" s="6">
        <v>0</v>
      </c>
      <c r="W168" s="6">
        <v>0</v>
      </c>
      <c r="X168" s="6">
        <v>0.232765157</v>
      </c>
      <c r="Y168" s="6">
        <v>0</v>
      </c>
      <c r="Z168" s="6">
        <v>0.003752139</v>
      </c>
      <c r="AA168" s="6">
        <v>0</v>
      </c>
    </row>
    <row r="169" ht="15" hidden="1" spans="1:27">
      <c r="A169" s="6" t="s">
        <v>35</v>
      </c>
      <c r="B169" s="7" t="s">
        <v>341</v>
      </c>
      <c r="C169" s="7" t="s">
        <v>344</v>
      </c>
      <c r="D169" s="7" t="s">
        <v>31</v>
      </c>
      <c r="E169" s="7" t="s">
        <v>373</v>
      </c>
      <c r="F169" s="6">
        <v>0.099410196</v>
      </c>
      <c r="G169" s="6">
        <v>0</v>
      </c>
      <c r="H169" s="6">
        <v>0.140840965</v>
      </c>
      <c r="I169" s="6">
        <v>0.071963879</v>
      </c>
      <c r="J169" s="6">
        <v>0</v>
      </c>
      <c r="K169" s="6">
        <v>0.161015582</v>
      </c>
      <c r="L169" s="6">
        <v>0</v>
      </c>
      <c r="M169" s="6">
        <v>0</v>
      </c>
      <c r="N169" s="6">
        <v>0.020378828</v>
      </c>
      <c r="O169" s="6">
        <v>0</v>
      </c>
      <c r="P169" s="6">
        <v>0</v>
      </c>
      <c r="Q169" s="6">
        <v>0.01377035</v>
      </c>
      <c r="R169" s="6">
        <v>0.103373907</v>
      </c>
      <c r="S169" s="6">
        <v>0</v>
      </c>
      <c r="T169" s="6">
        <v>0.024747014</v>
      </c>
      <c r="U169" s="6">
        <v>0.344144376</v>
      </c>
      <c r="V169" s="6">
        <v>0</v>
      </c>
      <c r="W169" s="6">
        <v>0.003671002</v>
      </c>
      <c r="X169" s="6">
        <v>0.012931863</v>
      </c>
      <c r="Y169" s="6">
        <v>0</v>
      </c>
      <c r="Z169" s="6">
        <v>0</v>
      </c>
      <c r="AA169" s="6">
        <v>0.003722069</v>
      </c>
    </row>
    <row r="170" ht="15" hidden="1" spans="1:27">
      <c r="A170" s="6" t="s">
        <v>36</v>
      </c>
      <c r="B170" s="7" t="s">
        <v>341</v>
      </c>
      <c r="C170" s="7" t="s">
        <v>344</v>
      </c>
      <c r="D170" s="7" t="s">
        <v>31</v>
      </c>
      <c r="E170" s="7" t="s">
        <v>373</v>
      </c>
      <c r="F170" s="6">
        <v>0.125338366</v>
      </c>
      <c r="G170" s="6">
        <v>0</v>
      </c>
      <c r="H170" s="6">
        <v>0.033391195</v>
      </c>
      <c r="I170" s="6">
        <v>0.218996934</v>
      </c>
      <c r="J170" s="6">
        <v>0</v>
      </c>
      <c r="K170" s="6">
        <v>0.137241579</v>
      </c>
      <c r="L170" s="6">
        <v>0.021134083</v>
      </c>
      <c r="M170" s="6">
        <v>0</v>
      </c>
      <c r="N170" s="6">
        <v>0.044262448</v>
      </c>
      <c r="O170" s="6">
        <v>0</v>
      </c>
      <c r="P170" s="6">
        <v>0</v>
      </c>
      <c r="Q170" s="6">
        <v>0.004287943</v>
      </c>
      <c r="R170" s="6">
        <v>0.031973689</v>
      </c>
      <c r="S170" s="6">
        <v>0</v>
      </c>
      <c r="T170" s="6">
        <v>0.096810428</v>
      </c>
      <c r="U170" s="6">
        <v>0.273466064</v>
      </c>
      <c r="V170" s="6">
        <v>0</v>
      </c>
      <c r="W170" s="6">
        <v>0</v>
      </c>
      <c r="X170" s="6">
        <v>0.013097272</v>
      </c>
      <c r="Y170" s="6">
        <v>0</v>
      </c>
      <c r="Z170" s="6">
        <v>0</v>
      </c>
      <c r="AA170" s="6">
        <v>0</v>
      </c>
    </row>
    <row r="171" ht="15" hidden="1" spans="1:27">
      <c r="A171" s="6" t="s">
        <v>37</v>
      </c>
      <c r="B171" s="7" t="s">
        <v>341</v>
      </c>
      <c r="C171" s="7" t="s">
        <v>344</v>
      </c>
      <c r="D171" s="7" t="s">
        <v>31</v>
      </c>
      <c r="E171" s="7" t="s">
        <v>373</v>
      </c>
      <c r="F171" s="6">
        <v>0.117940598</v>
      </c>
      <c r="G171" s="6">
        <v>0</v>
      </c>
      <c r="H171" s="6">
        <v>0.042100038</v>
      </c>
      <c r="I171" s="6">
        <v>0.041035175</v>
      </c>
      <c r="J171" s="6">
        <v>0</v>
      </c>
      <c r="K171" s="6">
        <v>0.166426512</v>
      </c>
      <c r="L171" s="6">
        <v>0</v>
      </c>
      <c r="M171" s="6">
        <v>0.010151948</v>
      </c>
      <c r="N171" s="6">
        <v>0.011099632</v>
      </c>
      <c r="O171" s="6">
        <v>0</v>
      </c>
      <c r="P171" s="6">
        <v>0</v>
      </c>
      <c r="Q171" s="6">
        <v>0.025435192</v>
      </c>
      <c r="R171" s="6">
        <v>0.049441027</v>
      </c>
      <c r="S171" s="6">
        <v>0</v>
      </c>
      <c r="T171" s="6">
        <v>0.04647275</v>
      </c>
      <c r="U171" s="6">
        <v>0.333677906</v>
      </c>
      <c r="V171" s="6">
        <v>0</v>
      </c>
      <c r="W171" s="6">
        <v>0</v>
      </c>
      <c r="X171" s="6">
        <v>0.15621922</v>
      </c>
      <c r="Y171" s="6">
        <v>0</v>
      </c>
      <c r="Z171" s="6">
        <v>0</v>
      </c>
      <c r="AA171" s="6">
        <v>0</v>
      </c>
    </row>
    <row r="172" ht="15" spans="1:27">
      <c r="A172" s="6" t="s">
        <v>332</v>
      </c>
      <c r="B172" s="7" t="s">
        <v>29</v>
      </c>
      <c r="C172" s="7" t="s">
        <v>29</v>
      </c>
      <c r="D172" s="7" t="s">
        <v>31</v>
      </c>
      <c r="E172" s="7" t="s">
        <v>373</v>
      </c>
      <c r="F172" s="6">
        <v>0.216533733</v>
      </c>
      <c r="G172" s="6">
        <v>0</v>
      </c>
      <c r="H172" s="6">
        <v>0</v>
      </c>
      <c r="I172" s="6">
        <v>0.041055658</v>
      </c>
      <c r="J172" s="6">
        <v>0</v>
      </c>
      <c r="K172" s="6">
        <v>0.0550894</v>
      </c>
      <c r="L172" s="6">
        <v>0</v>
      </c>
      <c r="M172" s="6">
        <v>0.041634694</v>
      </c>
      <c r="N172" s="6">
        <v>0</v>
      </c>
      <c r="O172" s="6">
        <v>0</v>
      </c>
      <c r="P172" s="6">
        <v>0</v>
      </c>
      <c r="Q172" s="6">
        <v>0.07909197</v>
      </c>
      <c r="R172" s="6">
        <v>0.064770902</v>
      </c>
      <c r="S172" s="6">
        <v>0.101649428</v>
      </c>
      <c r="T172" s="6">
        <v>0</v>
      </c>
      <c r="U172" s="6">
        <v>0.222056444</v>
      </c>
      <c r="V172" s="6">
        <v>0</v>
      </c>
      <c r="W172" s="6">
        <v>0.145835053</v>
      </c>
      <c r="X172" s="6">
        <v>0.032282718</v>
      </c>
      <c r="Y172" s="6">
        <v>0</v>
      </c>
      <c r="Z172" s="6">
        <v>0</v>
      </c>
      <c r="AA172" s="6">
        <v>0</v>
      </c>
    </row>
    <row r="173" ht="15" hidden="1" spans="1:27">
      <c r="A173" s="6" t="s">
        <v>92</v>
      </c>
      <c r="B173" s="7" t="s">
        <v>341</v>
      </c>
      <c r="C173" s="7" t="s">
        <v>344</v>
      </c>
      <c r="D173" s="7" t="s">
        <v>31</v>
      </c>
      <c r="E173" s="7" t="s">
        <v>373</v>
      </c>
      <c r="F173" s="6">
        <v>0.191527936</v>
      </c>
      <c r="G173" s="6">
        <v>0</v>
      </c>
      <c r="H173" s="6">
        <v>0.376151919</v>
      </c>
      <c r="I173" s="6">
        <v>0.045500015</v>
      </c>
      <c r="J173" s="6">
        <v>0</v>
      </c>
      <c r="K173" s="6">
        <v>0.053189127</v>
      </c>
      <c r="L173" s="6">
        <v>0.0009</v>
      </c>
      <c r="M173" s="6">
        <v>0</v>
      </c>
      <c r="N173" s="6">
        <v>0.011293158</v>
      </c>
      <c r="O173" s="6">
        <v>0</v>
      </c>
      <c r="P173" s="6">
        <v>0</v>
      </c>
      <c r="Q173" s="6">
        <v>0.016220912</v>
      </c>
      <c r="R173" s="6">
        <v>0.007336158</v>
      </c>
      <c r="S173" s="6">
        <v>0</v>
      </c>
      <c r="T173" s="6">
        <v>0.010689826</v>
      </c>
      <c r="U173" s="6">
        <v>0.229822037</v>
      </c>
      <c r="V173" s="6">
        <v>0</v>
      </c>
      <c r="W173" s="6">
        <v>0</v>
      </c>
      <c r="X173" s="6">
        <v>0.057396311</v>
      </c>
      <c r="Y173" s="6">
        <v>0</v>
      </c>
      <c r="Z173" s="6">
        <v>0</v>
      </c>
      <c r="AA173" s="6">
        <v>0</v>
      </c>
    </row>
    <row r="174" ht="15" spans="1:27">
      <c r="A174" s="6" t="s">
        <v>171</v>
      </c>
      <c r="B174" s="7" t="s">
        <v>29</v>
      </c>
      <c r="C174" s="7" t="s">
        <v>29</v>
      </c>
      <c r="D174" s="7" t="s">
        <v>31</v>
      </c>
      <c r="E174" s="7" t="s">
        <v>373</v>
      </c>
      <c r="F174" s="6">
        <v>0.112264517</v>
      </c>
      <c r="G174" s="6">
        <v>0</v>
      </c>
      <c r="H174" s="6">
        <v>0.114113311</v>
      </c>
      <c r="I174" s="6">
        <v>0.017746939</v>
      </c>
      <c r="J174" s="6">
        <v>0</v>
      </c>
      <c r="K174" s="6">
        <v>0.097052252</v>
      </c>
      <c r="L174" s="6">
        <v>0</v>
      </c>
      <c r="M174" s="6">
        <v>0</v>
      </c>
      <c r="N174" s="6">
        <v>0</v>
      </c>
      <c r="O174" s="6">
        <v>0</v>
      </c>
      <c r="P174" s="6">
        <v>0</v>
      </c>
      <c r="Q174" s="6">
        <v>0.007301814</v>
      </c>
      <c r="R174" s="6">
        <v>0.003364319</v>
      </c>
      <c r="S174" s="6">
        <v>0</v>
      </c>
      <c r="T174" s="6">
        <v>0.018607315</v>
      </c>
      <c r="U174" s="6">
        <v>0.161363588</v>
      </c>
      <c r="V174" s="6">
        <v>0</v>
      </c>
      <c r="W174" s="6">
        <v>0</v>
      </c>
      <c r="X174" s="6">
        <v>0.468185946</v>
      </c>
      <c r="Y174" s="6">
        <v>0</v>
      </c>
      <c r="Z174" s="6">
        <v>0</v>
      </c>
      <c r="AA174" s="6">
        <v>0</v>
      </c>
    </row>
    <row r="175" ht="15" hidden="1" spans="1:27">
      <c r="A175" s="6" t="s">
        <v>289</v>
      </c>
      <c r="B175" s="7" t="s">
        <v>341</v>
      </c>
      <c r="C175" s="7" t="s">
        <v>344</v>
      </c>
      <c r="D175" s="7" t="s">
        <v>31</v>
      </c>
      <c r="E175" s="7" t="s">
        <v>373</v>
      </c>
      <c r="F175" s="6">
        <v>0.077298728</v>
      </c>
      <c r="G175" s="6">
        <v>0</v>
      </c>
      <c r="H175" s="6">
        <v>0.121821896</v>
      </c>
      <c r="I175" s="6">
        <v>0.126513322</v>
      </c>
      <c r="J175" s="6">
        <v>0</v>
      </c>
      <c r="K175" s="6">
        <v>0.07849159</v>
      </c>
      <c r="L175" s="6">
        <v>0</v>
      </c>
      <c r="M175" s="6">
        <v>0</v>
      </c>
      <c r="N175" s="6">
        <v>0.068816815</v>
      </c>
      <c r="O175" s="6">
        <v>0</v>
      </c>
      <c r="P175" s="6">
        <v>0</v>
      </c>
      <c r="Q175" s="6">
        <v>0.008849647</v>
      </c>
      <c r="R175" s="6">
        <v>0.061381113</v>
      </c>
      <c r="S175" s="6">
        <v>0.011910639</v>
      </c>
      <c r="T175" s="6">
        <v>0.109981568</v>
      </c>
      <c r="U175" s="6">
        <v>0.310263643</v>
      </c>
      <c r="V175" s="6">
        <v>0</v>
      </c>
      <c r="W175" s="6">
        <v>0</v>
      </c>
      <c r="X175" s="6">
        <v>0.02467104</v>
      </c>
      <c r="Y175" s="6">
        <v>0</v>
      </c>
      <c r="Z175" s="6">
        <v>0</v>
      </c>
      <c r="AA175" s="6">
        <v>0</v>
      </c>
    </row>
    <row r="176" ht="15" hidden="1" spans="1:27">
      <c r="A176" s="6" t="s">
        <v>62</v>
      </c>
      <c r="B176" s="7" t="s">
        <v>344</v>
      </c>
      <c r="C176" s="7" t="s">
        <v>344</v>
      </c>
      <c r="D176" s="7" t="s">
        <v>31</v>
      </c>
      <c r="E176" s="7" t="s">
        <v>373</v>
      </c>
      <c r="F176" s="6">
        <v>0.100660832</v>
      </c>
      <c r="G176" s="6">
        <v>0</v>
      </c>
      <c r="H176" s="6">
        <v>0.1129951</v>
      </c>
      <c r="I176" s="6">
        <v>0.207088607</v>
      </c>
      <c r="J176" s="6">
        <v>0</v>
      </c>
      <c r="K176" s="6">
        <v>0.232682024</v>
      </c>
      <c r="L176" s="6">
        <v>0.016041422</v>
      </c>
      <c r="M176" s="6">
        <v>0</v>
      </c>
      <c r="N176" s="6">
        <v>0</v>
      </c>
      <c r="O176" s="6">
        <v>0</v>
      </c>
      <c r="P176" s="6">
        <v>0</v>
      </c>
      <c r="Q176" s="6">
        <v>0.003229757</v>
      </c>
      <c r="R176" s="6">
        <v>0.055352185</v>
      </c>
      <c r="S176" s="6">
        <v>0</v>
      </c>
      <c r="T176" s="6">
        <v>0.075070404</v>
      </c>
      <c r="U176" s="6">
        <v>0.174296946</v>
      </c>
      <c r="V176" s="6">
        <v>0</v>
      </c>
      <c r="W176" s="6">
        <v>0</v>
      </c>
      <c r="X176" s="6">
        <v>0.022582725</v>
      </c>
      <c r="Y176" s="6">
        <v>0</v>
      </c>
      <c r="Z176" s="6">
        <v>0</v>
      </c>
      <c r="AA176" s="6">
        <v>0</v>
      </c>
    </row>
    <row r="177" ht="15" hidden="1" spans="1:27">
      <c r="A177" s="6" t="s">
        <v>86</v>
      </c>
      <c r="B177" s="7" t="s">
        <v>344</v>
      </c>
      <c r="C177" s="7" t="s">
        <v>29</v>
      </c>
      <c r="D177" s="7" t="s">
        <v>18</v>
      </c>
      <c r="E177" s="7" t="s">
        <v>373</v>
      </c>
      <c r="F177" s="6">
        <v>0.16702284</v>
      </c>
      <c r="G177" s="6">
        <v>0</v>
      </c>
      <c r="H177" s="6">
        <v>0.046297014</v>
      </c>
      <c r="I177" s="6">
        <v>0.0107337</v>
      </c>
      <c r="J177" s="6">
        <v>0</v>
      </c>
      <c r="K177" s="6">
        <v>0.194939404</v>
      </c>
      <c r="L177" s="6">
        <v>0</v>
      </c>
      <c r="M177" s="6">
        <v>0</v>
      </c>
      <c r="N177" s="6">
        <v>0</v>
      </c>
      <c r="O177" s="6">
        <v>0</v>
      </c>
      <c r="P177" s="6">
        <v>0.048730044</v>
      </c>
      <c r="Q177" s="6">
        <v>0.020860406</v>
      </c>
      <c r="R177" s="6">
        <v>0.022193308</v>
      </c>
      <c r="S177" s="6">
        <v>0.104596722</v>
      </c>
      <c r="T177" s="6">
        <v>0.047894851</v>
      </c>
      <c r="U177" s="6">
        <v>0.272869544</v>
      </c>
      <c r="V177" s="6">
        <v>0</v>
      </c>
      <c r="W177" s="6">
        <v>0</v>
      </c>
      <c r="X177" s="6">
        <v>0.063862167</v>
      </c>
      <c r="Y177" s="6">
        <v>0</v>
      </c>
      <c r="Z177" s="6">
        <v>0</v>
      </c>
      <c r="AA177" s="6">
        <v>0</v>
      </c>
    </row>
    <row r="178" ht="15" hidden="1" spans="1:27">
      <c r="A178" s="6" t="s">
        <v>84</v>
      </c>
      <c r="B178" s="7" t="s">
        <v>344</v>
      </c>
      <c r="C178" s="7" t="s">
        <v>344</v>
      </c>
      <c r="D178" s="7" t="s">
        <v>18</v>
      </c>
      <c r="E178" s="7" t="s">
        <v>373</v>
      </c>
      <c r="F178" s="6">
        <v>0.033942092</v>
      </c>
      <c r="G178" s="6">
        <v>0</v>
      </c>
      <c r="H178" s="6">
        <v>0</v>
      </c>
      <c r="I178" s="6">
        <v>0.012395139</v>
      </c>
      <c r="J178" s="6">
        <v>0</v>
      </c>
      <c r="K178" s="6">
        <v>0.194637219</v>
      </c>
      <c r="L178" s="6">
        <v>0</v>
      </c>
      <c r="M178" s="6">
        <v>0</v>
      </c>
      <c r="N178" s="6">
        <v>0.02700059</v>
      </c>
      <c r="O178" s="6">
        <v>0</v>
      </c>
      <c r="P178" s="6">
        <v>0.043910235</v>
      </c>
      <c r="Q178" s="6">
        <v>0.03775775</v>
      </c>
      <c r="R178" s="6">
        <v>0.015304802</v>
      </c>
      <c r="S178" s="6">
        <v>0.149694862</v>
      </c>
      <c r="T178" s="6">
        <v>0.023805043</v>
      </c>
      <c r="U178" s="6">
        <v>0.286492692</v>
      </c>
      <c r="V178" s="6">
        <v>0</v>
      </c>
      <c r="W178" s="6">
        <v>0</v>
      </c>
      <c r="X178" s="6">
        <v>0.175059575</v>
      </c>
      <c r="Y178" s="6">
        <v>0</v>
      </c>
      <c r="Z178" s="6">
        <v>0</v>
      </c>
      <c r="AA178" s="6">
        <v>0</v>
      </c>
    </row>
    <row r="179" ht="15" hidden="1" spans="1:27">
      <c r="A179" s="6" t="s">
        <v>78</v>
      </c>
      <c r="B179" s="7" t="s">
        <v>341</v>
      </c>
      <c r="C179" s="7" t="s">
        <v>344</v>
      </c>
      <c r="D179" s="7" t="s">
        <v>18</v>
      </c>
      <c r="E179" s="7" t="s">
        <v>373</v>
      </c>
      <c r="F179" s="6">
        <v>0.125946629</v>
      </c>
      <c r="G179" s="6">
        <v>0</v>
      </c>
      <c r="H179" s="6">
        <v>0</v>
      </c>
      <c r="I179" s="6">
        <v>0.023185176</v>
      </c>
      <c r="J179" s="6">
        <v>0</v>
      </c>
      <c r="K179" s="6">
        <v>0.354667831</v>
      </c>
      <c r="L179" s="6">
        <v>0</v>
      </c>
      <c r="M179" s="6">
        <v>0</v>
      </c>
      <c r="N179" s="6">
        <v>0</v>
      </c>
      <c r="O179" s="6">
        <v>0</v>
      </c>
      <c r="P179" s="6">
        <v>0.129095157</v>
      </c>
      <c r="Q179" s="6">
        <v>0</v>
      </c>
      <c r="R179" s="6">
        <v>0.051981</v>
      </c>
      <c r="S179" s="6">
        <v>0.019953432</v>
      </c>
      <c r="T179" s="6">
        <v>0.017353096</v>
      </c>
      <c r="U179" s="6">
        <v>0.011974524</v>
      </c>
      <c r="V179" s="6">
        <v>0</v>
      </c>
      <c r="W179" s="6">
        <v>0.0007</v>
      </c>
      <c r="X179" s="6">
        <v>0.26515691</v>
      </c>
      <c r="Y179" s="6">
        <v>0</v>
      </c>
      <c r="Z179" s="6">
        <v>0</v>
      </c>
      <c r="AA179" s="6">
        <v>0</v>
      </c>
    </row>
    <row r="180" ht="15" spans="1:27">
      <c r="A180" s="6" t="s">
        <v>108</v>
      </c>
      <c r="B180" s="7" t="s">
        <v>29</v>
      </c>
      <c r="C180" s="7" t="s">
        <v>29</v>
      </c>
      <c r="D180" s="7" t="s">
        <v>18</v>
      </c>
      <c r="E180" s="7" t="s">
        <v>373</v>
      </c>
      <c r="F180" s="6">
        <v>0.08967659</v>
      </c>
      <c r="G180" s="6">
        <v>0</v>
      </c>
      <c r="H180" s="6">
        <v>0.003702045</v>
      </c>
      <c r="I180" s="6">
        <v>0.130442322</v>
      </c>
      <c r="J180" s="6">
        <v>0</v>
      </c>
      <c r="K180" s="6">
        <v>0.179010637</v>
      </c>
      <c r="L180" s="6">
        <v>0</v>
      </c>
      <c r="M180" s="6">
        <v>0.001403646</v>
      </c>
      <c r="N180" s="6">
        <v>0.010981777</v>
      </c>
      <c r="O180" s="6">
        <v>0</v>
      </c>
      <c r="P180" s="6">
        <v>0</v>
      </c>
      <c r="Q180" s="6">
        <v>0.016711024</v>
      </c>
      <c r="R180" s="6">
        <v>0.02701767</v>
      </c>
      <c r="S180" s="6">
        <v>0</v>
      </c>
      <c r="T180" s="6">
        <v>0.065384409</v>
      </c>
      <c r="U180" s="6">
        <v>0.207143369</v>
      </c>
      <c r="V180" s="6">
        <v>0.004718488</v>
      </c>
      <c r="W180" s="6">
        <v>0</v>
      </c>
      <c r="X180" s="6">
        <v>0.263808022</v>
      </c>
      <c r="Y180" s="6">
        <v>0</v>
      </c>
      <c r="Z180" s="6">
        <v>0</v>
      </c>
      <c r="AA180" s="6">
        <v>0</v>
      </c>
    </row>
    <row r="181" ht="15" hidden="1" spans="1:27">
      <c r="A181" s="6" t="s">
        <v>198</v>
      </c>
      <c r="B181" s="7" t="s">
        <v>344</v>
      </c>
      <c r="C181" s="7" t="s">
        <v>344</v>
      </c>
      <c r="D181" s="7" t="s">
        <v>18</v>
      </c>
      <c r="E181" s="7" t="s">
        <v>373</v>
      </c>
      <c r="F181" s="6">
        <v>0.086425479</v>
      </c>
      <c r="G181" s="6">
        <v>0</v>
      </c>
      <c r="H181" s="6">
        <v>0</v>
      </c>
      <c r="I181" s="6">
        <v>0.018607192</v>
      </c>
      <c r="J181" s="6">
        <v>0</v>
      </c>
      <c r="K181" s="6">
        <v>0.353587775</v>
      </c>
      <c r="L181" s="6">
        <v>0</v>
      </c>
      <c r="M181" s="6">
        <v>0</v>
      </c>
      <c r="N181" s="6">
        <v>0</v>
      </c>
      <c r="O181" s="6">
        <v>0</v>
      </c>
      <c r="P181" s="6">
        <v>0.013738611</v>
      </c>
      <c r="Q181" s="6">
        <v>0.044384527</v>
      </c>
      <c r="R181" s="6">
        <v>0.037947817</v>
      </c>
      <c r="S181" s="6">
        <v>0</v>
      </c>
      <c r="T181" s="6">
        <v>0.018226655</v>
      </c>
      <c r="U181" s="6">
        <v>0.308179887</v>
      </c>
      <c r="V181" s="6">
        <v>0</v>
      </c>
      <c r="W181" s="6">
        <v>0.053922496</v>
      </c>
      <c r="X181" s="6">
        <v>0.055820797</v>
      </c>
      <c r="Y181" s="6">
        <v>0</v>
      </c>
      <c r="Z181" s="6">
        <v>0.009158766</v>
      </c>
      <c r="AA181" s="6">
        <v>0</v>
      </c>
    </row>
    <row r="182" ht="15" spans="1:27">
      <c r="A182" s="6" t="s">
        <v>313</v>
      </c>
      <c r="B182" s="7" t="s">
        <v>29</v>
      </c>
      <c r="C182" s="7" t="s">
        <v>29</v>
      </c>
      <c r="D182" s="7" t="s">
        <v>18</v>
      </c>
      <c r="E182" s="7" t="s">
        <v>373</v>
      </c>
      <c r="F182" s="6">
        <v>0.104504589</v>
      </c>
      <c r="G182" s="6">
        <v>0</v>
      </c>
      <c r="H182" s="6">
        <v>0</v>
      </c>
      <c r="I182" s="6">
        <v>0.030622036</v>
      </c>
      <c r="J182" s="6">
        <v>0</v>
      </c>
      <c r="K182" s="6">
        <v>0.234020933</v>
      </c>
      <c r="L182" s="6">
        <v>0</v>
      </c>
      <c r="M182" s="6">
        <v>0</v>
      </c>
      <c r="N182" s="6">
        <v>0</v>
      </c>
      <c r="O182" s="6">
        <v>0</v>
      </c>
      <c r="P182" s="6">
        <v>0</v>
      </c>
      <c r="Q182" s="6">
        <v>0.041320377</v>
      </c>
      <c r="R182" s="6">
        <v>0.023386759</v>
      </c>
      <c r="S182" s="6">
        <v>0</v>
      </c>
      <c r="T182" s="6">
        <v>0.01333409</v>
      </c>
      <c r="U182" s="6">
        <v>0.322431527</v>
      </c>
      <c r="V182" s="6">
        <v>0</v>
      </c>
      <c r="W182" s="6">
        <v>0</v>
      </c>
      <c r="X182" s="6">
        <v>0.23037969</v>
      </c>
      <c r="Y182" s="6">
        <v>0</v>
      </c>
      <c r="Z182" s="6">
        <v>0</v>
      </c>
      <c r="AA182" s="6">
        <v>0</v>
      </c>
    </row>
    <row r="183" ht="15" hidden="1" spans="1:27">
      <c r="A183" s="6" t="s">
        <v>337</v>
      </c>
      <c r="B183" s="7" t="s">
        <v>29</v>
      </c>
      <c r="C183" s="7" t="s">
        <v>341</v>
      </c>
      <c r="D183" s="7" t="s">
        <v>18</v>
      </c>
      <c r="E183" s="7" t="s">
        <v>373</v>
      </c>
      <c r="F183" s="6">
        <v>0.150169482</v>
      </c>
      <c r="G183" s="6">
        <v>0</v>
      </c>
      <c r="H183" s="6">
        <v>0</v>
      </c>
      <c r="I183" s="6">
        <v>0</v>
      </c>
      <c r="J183" s="6">
        <v>0</v>
      </c>
      <c r="K183" s="6">
        <v>0.14097817</v>
      </c>
      <c r="L183" s="6">
        <v>0</v>
      </c>
      <c r="M183" s="6">
        <v>0.001456342</v>
      </c>
      <c r="N183" s="6">
        <v>0</v>
      </c>
      <c r="O183" s="6">
        <v>0</v>
      </c>
      <c r="P183" s="6">
        <v>0.00273746</v>
      </c>
      <c r="Q183" s="6">
        <v>0.023029269</v>
      </c>
      <c r="R183" s="6">
        <v>0.014140803</v>
      </c>
      <c r="S183" s="6">
        <v>0</v>
      </c>
      <c r="T183" s="6">
        <v>0.01534566</v>
      </c>
      <c r="U183" s="6">
        <v>0.300467665</v>
      </c>
      <c r="V183" s="6">
        <v>0</v>
      </c>
      <c r="W183" s="6">
        <v>0.004669944</v>
      </c>
      <c r="X183" s="6">
        <v>0.347005206</v>
      </c>
      <c r="Y183" s="6">
        <v>0</v>
      </c>
      <c r="Z183" s="6">
        <v>0</v>
      </c>
      <c r="AA183" s="6">
        <v>0</v>
      </c>
    </row>
    <row r="184" ht="15" hidden="1" spans="1:27">
      <c r="A184" s="6" t="s">
        <v>203</v>
      </c>
      <c r="B184" s="7" t="s">
        <v>29</v>
      </c>
      <c r="C184" s="7" t="s">
        <v>341</v>
      </c>
      <c r="D184" s="7" t="s">
        <v>18</v>
      </c>
      <c r="E184" s="7" t="s">
        <v>373</v>
      </c>
      <c r="F184" s="6">
        <v>0.031944399</v>
      </c>
      <c r="G184" s="6">
        <v>0</v>
      </c>
      <c r="H184" s="6">
        <v>0</v>
      </c>
      <c r="I184" s="6">
        <v>0.035456159</v>
      </c>
      <c r="J184" s="6">
        <v>0</v>
      </c>
      <c r="K184" s="6">
        <v>0.355470755</v>
      </c>
      <c r="L184" s="6">
        <v>0</v>
      </c>
      <c r="M184" s="6">
        <v>0</v>
      </c>
      <c r="N184" s="6">
        <v>0</v>
      </c>
      <c r="O184" s="6">
        <v>0</v>
      </c>
      <c r="P184" s="6">
        <v>0.003489778</v>
      </c>
      <c r="Q184" s="6">
        <v>0.064560223</v>
      </c>
      <c r="R184" s="6">
        <v>0.071415944</v>
      </c>
      <c r="S184" s="6">
        <v>0</v>
      </c>
      <c r="T184" s="6">
        <v>0.002975437</v>
      </c>
      <c r="U184" s="6">
        <v>0.176760476</v>
      </c>
      <c r="V184" s="6">
        <v>0</v>
      </c>
      <c r="W184" s="6">
        <v>0</v>
      </c>
      <c r="X184" s="6">
        <v>0.25792683</v>
      </c>
      <c r="Y184" s="6">
        <v>0</v>
      </c>
      <c r="Z184" s="6">
        <v>0</v>
      </c>
      <c r="AA184" s="6">
        <v>0</v>
      </c>
    </row>
    <row r="185" ht="15" hidden="1" spans="1:27">
      <c r="A185" s="6" t="s">
        <v>262</v>
      </c>
      <c r="B185" s="7" t="s">
        <v>344</v>
      </c>
      <c r="C185" s="7" t="s">
        <v>344</v>
      </c>
      <c r="D185" s="7" t="s">
        <v>18</v>
      </c>
      <c r="E185" s="7" t="s">
        <v>373</v>
      </c>
      <c r="F185" s="6">
        <v>0.048087704</v>
      </c>
      <c r="G185" s="6">
        <v>0</v>
      </c>
      <c r="H185" s="6">
        <v>0</v>
      </c>
      <c r="I185" s="6">
        <v>0.004088821</v>
      </c>
      <c r="J185" s="6">
        <v>0</v>
      </c>
      <c r="K185" s="6">
        <v>0.188309047</v>
      </c>
      <c r="L185" s="6">
        <v>0</v>
      </c>
      <c r="M185" s="6">
        <v>0.00527823</v>
      </c>
      <c r="N185" s="6">
        <v>0.011216622</v>
      </c>
      <c r="O185" s="6">
        <v>0</v>
      </c>
      <c r="P185" s="6">
        <v>0</v>
      </c>
      <c r="Q185" s="6">
        <v>0.042562044</v>
      </c>
      <c r="R185" s="6">
        <v>0.355259377</v>
      </c>
      <c r="S185" s="6">
        <v>0.039909082</v>
      </c>
      <c r="T185" s="6">
        <v>0.002818223</v>
      </c>
      <c r="U185" s="6">
        <v>0.137828806</v>
      </c>
      <c r="V185" s="6">
        <v>0</v>
      </c>
      <c r="W185" s="6">
        <v>0.00317954</v>
      </c>
      <c r="X185" s="6">
        <v>0.130628485</v>
      </c>
      <c r="Y185" s="6">
        <v>0</v>
      </c>
      <c r="Z185" s="6">
        <v>0.030834019</v>
      </c>
      <c r="AA185" s="6">
        <v>0</v>
      </c>
    </row>
    <row r="186" ht="15" hidden="1" spans="1:27">
      <c r="A186" s="6" t="s">
        <v>296</v>
      </c>
      <c r="B186" s="7" t="s">
        <v>29</v>
      </c>
      <c r="C186" s="7" t="s">
        <v>341</v>
      </c>
      <c r="D186" s="7" t="s">
        <v>18</v>
      </c>
      <c r="E186" s="7" t="s">
        <v>373</v>
      </c>
      <c r="F186" s="6">
        <v>0.06828783</v>
      </c>
      <c r="G186" s="6">
        <v>0</v>
      </c>
      <c r="H186" s="6">
        <v>0</v>
      </c>
      <c r="I186" s="6">
        <v>0.061971961</v>
      </c>
      <c r="J186" s="6">
        <v>0</v>
      </c>
      <c r="K186" s="6">
        <v>0.238988457</v>
      </c>
      <c r="L186" s="6">
        <v>0</v>
      </c>
      <c r="M186" s="6">
        <v>0</v>
      </c>
      <c r="N186" s="6">
        <v>0</v>
      </c>
      <c r="O186" s="6">
        <v>0</v>
      </c>
      <c r="P186" s="6">
        <v>0</v>
      </c>
      <c r="Q186" s="6">
        <v>0</v>
      </c>
      <c r="R186" s="6">
        <v>0.080389714</v>
      </c>
      <c r="S186" s="6">
        <v>0</v>
      </c>
      <c r="T186" s="6">
        <v>0.057478077</v>
      </c>
      <c r="U186" s="6">
        <v>0.300127483</v>
      </c>
      <c r="V186" s="6">
        <v>0</v>
      </c>
      <c r="W186" s="6">
        <v>0</v>
      </c>
      <c r="X186" s="6">
        <v>0.192756477</v>
      </c>
      <c r="Y186" s="6">
        <v>0</v>
      </c>
      <c r="Z186" s="6">
        <v>0</v>
      </c>
      <c r="AA186" s="6">
        <v>0</v>
      </c>
    </row>
    <row r="187" ht="15" hidden="1" spans="1:27">
      <c r="A187" s="6" t="s">
        <v>162</v>
      </c>
      <c r="B187" s="7" t="s">
        <v>341</v>
      </c>
      <c r="C187" s="7" t="s">
        <v>344</v>
      </c>
      <c r="D187" s="7" t="s">
        <v>31</v>
      </c>
      <c r="E187" s="7" t="s">
        <v>373</v>
      </c>
      <c r="F187" s="6">
        <v>0.141469941</v>
      </c>
      <c r="G187" s="6">
        <v>0</v>
      </c>
      <c r="H187" s="6">
        <v>0.047311986</v>
      </c>
      <c r="I187" s="6">
        <v>0.123312027</v>
      </c>
      <c r="J187" s="6">
        <v>0</v>
      </c>
      <c r="K187" s="6">
        <v>0.129369595</v>
      </c>
      <c r="L187" s="6">
        <v>0.01577243</v>
      </c>
      <c r="M187" s="6">
        <v>0.008242171</v>
      </c>
      <c r="N187" s="6">
        <v>0.035445745</v>
      </c>
      <c r="O187" s="6">
        <v>0</v>
      </c>
      <c r="P187" s="6">
        <v>0.027379823</v>
      </c>
      <c r="Q187" s="6">
        <v>0</v>
      </c>
      <c r="R187" s="6">
        <v>0.018993946</v>
      </c>
      <c r="S187" s="6">
        <v>0.098414102</v>
      </c>
      <c r="T187" s="6">
        <v>0.088323481</v>
      </c>
      <c r="U187" s="6">
        <v>0.254511989</v>
      </c>
      <c r="V187" s="6">
        <v>0</v>
      </c>
      <c r="W187" s="6">
        <v>0</v>
      </c>
      <c r="X187" s="6">
        <v>0.011452764</v>
      </c>
      <c r="Y187" s="6">
        <v>0</v>
      </c>
      <c r="Z187" s="6">
        <v>0</v>
      </c>
      <c r="AA187" s="6">
        <v>0</v>
      </c>
    </row>
    <row r="188" ht="15" hidden="1" spans="1:27">
      <c r="A188" s="6" t="s">
        <v>209</v>
      </c>
      <c r="B188" s="7" t="s">
        <v>341</v>
      </c>
      <c r="C188" s="7" t="s">
        <v>341</v>
      </c>
      <c r="D188" s="7" t="s">
        <v>51</v>
      </c>
      <c r="E188" s="7" t="s">
        <v>373</v>
      </c>
      <c r="F188" s="6">
        <v>0.11376019</v>
      </c>
      <c r="G188" s="6">
        <v>0</v>
      </c>
      <c r="H188" s="6">
        <v>0.01581533</v>
      </c>
      <c r="I188" s="6">
        <v>0.091223238</v>
      </c>
      <c r="J188" s="6">
        <v>0</v>
      </c>
      <c r="K188" s="6">
        <v>0.113902935</v>
      </c>
      <c r="L188" s="6">
        <v>0</v>
      </c>
      <c r="M188" s="6">
        <v>0.029634443</v>
      </c>
      <c r="N188" s="6">
        <v>0.042804002</v>
      </c>
      <c r="O188" s="6">
        <v>0</v>
      </c>
      <c r="P188" s="6">
        <v>0.00862099</v>
      </c>
      <c r="Q188" s="6">
        <v>0.010246442</v>
      </c>
      <c r="R188" s="6">
        <v>0.015292028</v>
      </c>
      <c r="S188" s="6">
        <v>0</v>
      </c>
      <c r="T188" s="6">
        <v>0.106463892</v>
      </c>
      <c r="U188" s="6">
        <v>0.323565355</v>
      </c>
      <c r="V188" s="6">
        <v>0</v>
      </c>
      <c r="W188" s="6">
        <v>0</v>
      </c>
      <c r="X188" s="6">
        <v>0.128671155</v>
      </c>
      <c r="Y188" s="6">
        <v>0</v>
      </c>
      <c r="Z188" s="6">
        <v>0</v>
      </c>
      <c r="AA188" s="6">
        <v>0</v>
      </c>
    </row>
    <row r="189" ht="15" hidden="1" spans="1:27">
      <c r="A189" s="6" t="s">
        <v>315</v>
      </c>
      <c r="B189" s="7" t="s">
        <v>344</v>
      </c>
      <c r="C189" s="7" t="s">
        <v>341</v>
      </c>
      <c r="D189" s="7" t="s">
        <v>18</v>
      </c>
      <c r="E189" s="7" t="s">
        <v>373</v>
      </c>
      <c r="F189" s="6">
        <v>0.036463095</v>
      </c>
      <c r="G189" s="6">
        <v>0</v>
      </c>
      <c r="H189" s="6">
        <v>0.015882105</v>
      </c>
      <c r="I189" s="6">
        <v>0.10082234</v>
      </c>
      <c r="J189" s="6">
        <v>0</v>
      </c>
      <c r="K189" s="6">
        <v>0.324560506</v>
      </c>
      <c r="L189" s="6">
        <v>0</v>
      </c>
      <c r="M189" s="6">
        <v>0</v>
      </c>
      <c r="N189" s="6">
        <v>0</v>
      </c>
      <c r="O189" s="6">
        <v>0</v>
      </c>
      <c r="P189" s="6">
        <v>0.011237945</v>
      </c>
      <c r="Q189" s="6">
        <v>0</v>
      </c>
      <c r="R189" s="6">
        <v>0.106599375</v>
      </c>
      <c r="S189" s="6">
        <v>0.011427491</v>
      </c>
      <c r="T189" s="6">
        <v>0.047222914</v>
      </c>
      <c r="U189" s="6">
        <v>0.222122323</v>
      </c>
      <c r="V189" s="6">
        <v>0</v>
      </c>
      <c r="W189" s="6">
        <v>0.007185823</v>
      </c>
      <c r="X189" s="6">
        <v>0.116476083</v>
      </c>
      <c r="Y189" s="6">
        <v>0</v>
      </c>
      <c r="Z189" s="6">
        <v>0</v>
      </c>
      <c r="AA189" s="6">
        <v>0</v>
      </c>
    </row>
    <row r="190" ht="15" hidden="1" spans="1:27">
      <c r="A190" s="6" t="s">
        <v>222</v>
      </c>
      <c r="B190" s="7" t="s">
        <v>341</v>
      </c>
      <c r="C190" s="7" t="s">
        <v>344</v>
      </c>
      <c r="D190" s="7" t="s">
        <v>31</v>
      </c>
      <c r="E190" s="7" t="s">
        <v>373</v>
      </c>
      <c r="F190" s="6">
        <v>0.159642776</v>
      </c>
      <c r="G190" s="6">
        <v>0</v>
      </c>
      <c r="H190" s="6">
        <v>0.109085945</v>
      </c>
      <c r="I190" s="6">
        <v>0.135290712</v>
      </c>
      <c r="J190" s="6">
        <v>0</v>
      </c>
      <c r="K190" s="6">
        <v>0.253169244</v>
      </c>
      <c r="L190" s="6">
        <v>0</v>
      </c>
      <c r="M190" s="6">
        <v>0.021873257</v>
      </c>
      <c r="N190" s="6">
        <v>0</v>
      </c>
      <c r="O190" s="6">
        <v>0</v>
      </c>
      <c r="P190" s="6">
        <v>0.031570449</v>
      </c>
      <c r="Q190" s="6">
        <v>0.003544751</v>
      </c>
      <c r="R190" s="6">
        <v>0.036633459</v>
      </c>
      <c r="S190" s="6">
        <v>0.083179097</v>
      </c>
      <c r="T190" s="6">
        <v>0.036903451</v>
      </c>
      <c r="U190" s="6">
        <v>0.072124996</v>
      </c>
      <c r="V190" s="6">
        <v>0</v>
      </c>
      <c r="W190" s="6">
        <v>0</v>
      </c>
      <c r="X190" s="6">
        <v>0.056981864</v>
      </c>
      <c r="Y190" s="6">
        <v>0</v>
      </c>
      <c r="Z190" s="6">
        <v>0</v>
      </c>
      <c r="AA190" s="6">
        <v>0</v>
      </c>
    </row>
    <row r="191" ht="15" hidden="1" spans="1:27">
      <c r="A191" s="6" t="s">
        <v>340</v>
      </c>
      <c r="B191" s="7" t="s">
        <v>344</v>
      </c>
      <c r="C191" s="7" t="s">
        <v>341</v>
      </c>
      <c r="D191" s="7" t="s">
        <v>18</v>
      </c>
      <c r="E191" s="7" t="s">
        <v>373</v>
      </c>
      <c r="F191" s="6">
        <v>0.086078285</v>
      </c>
      <c r="G191" s="6">
        <v>0</v>
      </c>
      <c r="H191" s="6">
        <v>0.049910711</v>
      </c>
      <c r="I191" s="6">
        <v>0.21874351</v>
      </c>
      <c r="J191" s="6">
        <v>0</v>
      </c>
      <c r="K191" s="6">
        <v>0.229004827</v>
      </c>
      <c r="L191" s="6">
        <v>0.011230307</v>
      </c>
      <c r="M191" s="6">
        <v>0</v>
      </c>
      <c r="N191" s="6">
        <v>0.012949043</v>
      </c>
      <c r="O191" s="6">
        <v>0</v>
      </c>
      <c r="P191" s="6">
        <v>0</v>
      </c>
      <c r="Q191" s="6">
        <v>0.016897061</v>
      </c>
      <c r="R191" s="6">
        <v>0.042997785</v>
      </c>
      <c r="S191" s="6">
        <v>0.019874634</v>
      </c>
      <c r="T191" s="6">
        <v>0.058345159</v>
      </c>
      <c r="U191" s="6">
        <v>0.099209518</v>
      </c>
      <c r="V191" s="6">
        <v>0</v>
      </c>
      <c r="W191" s="6">
        <v>0.001171532</v>
      </c>
      <c r="X191" s="6">
        <v>0.153587628</v>
      </c>
      <c r="Y191" s="6">
        <v>0</v>
      </c>
      <c r="Z191" s="6">
        <v>0</v>
      </c>
      <c r="AA191" s="6">
        <v>0</v>
      </c>
    </row>
    <row r="192" ht="15" hidden="1" spans="1:27">
      <c r="A192" s="6" t="s">
        <v>339</v>
      </c>
      <c r="B192" s="7" t="s">
        <v>29</v>
      </c>
      <c r="C192" s="7" t="s">
        <v>341</v>
      </c>
      <c r="D192" s="7" t="s">
        <v>18</v>
      </c>
      <c r="E192" s="7" t="s">
        <v>373</v>
      </c>
      <c r="F192" s="6">
        <v>0.095961733</v>
      </c>
      <c r="G192" s="6">
        <v>0</v>
      </c>
      <c r="H192" s="6">
        <v>0.11069351</v>
      </c>
      <c r="I192" s="6">
        <v>0.072602795</v>
      </c>
      <c r="J192" s="6">
        <v>0</v>
      </c>
      <c r="K192" s="6">
        <v>0.237946777</v>
      </c>
      <c r="L192" s="6">
        <v>0</v>
      </c>
      <c r="M192" s="6">
        <v>0</v>
      </c>
      <c r="N192" s="6">
        <v>0</v>
      </c>
      <c r="O192" s="6">
        <v>0</v>
      </c>
      <c r="P192" s="6">
        <v>0.001273084</v>
      </c>
      <c r="Q192" s="6">
        <v>0.018211717</v>
      </c>
      <c r="R192" s="6">
        <v>0.068374937</v>
      </c>
      <c r="S192" s="6">
        <v>0</v>
      </c>
      <c r="T192" s="6">
        <v>0.050251263</v>
      </c>
      <c r="U192" s="6">
        <v>0.223474364</v>
      </c>
      <c r="V192" s="6">
        <v>0</v>
      </c>
      <c r="W192" s="6">
        <v>0</v>
      </c>
      <c r="X192" s="6">
        <v>0.12120982</v>
      </c>
      <c r="Y192" s="6">
        <v>0</v>
      </c>
      <c r="Z192" s="6">
        <v>0</v>
      </c>
      <c r="AA192" s="6">
        <v>0</v>
      </c>
    </row>
    <row r="193" ht="15" hidden="1" spans="1:27">
      <c r="A193" s="6" t="s">
        <v>323</v>
      </c>
      <c r="B193" s="7" t="s">
        <v>29</v>
      </c>
      <c r="C193" s="7" t="s">
        <v>341</v>
      </c>
      <c r="D193" s="7" t="s">
        <v>202</v>
      </c>
      <c r="E193" s="7" t="s">
        <v>373</v>
      </c>
      <c r="F193" s="6">
        <v>0.033343048</v>
      </c>
      <c r="G193" s="6">
        <v>0</v>
      </c>
      <c r="H193" s="6">
        <v>0</v>
      </c>
      <c r="I193" s="6">
        <v>0</v>
      </c>
      <c r="J193" s="6">
        <v>0</v>
      </c>
      <c r="K193" s="6">
        <v>0.360086145</v>
      </c>
      <c r="L193" s="6">
        <v>0</v>
      </c>
      <c r="M193" s="6">
        <v>0.011735928</v>
      </c>
      <c r="N193" s="6">
        <v>0.053880104</v>
      </c>
      <c r="O193" s="6">
        <v>0</v>
      </c>
      <c r="P193" s="6">
        <v>0.013339233</v>
      </c>
      <c r="Q193" s="6">
        <v>0.124968051</v>
      </c>
      <c r="R193" s="6">
        <v>0.058832386</v>
      </c>
      <c r="S193" s="6">
        <v>0.12558779</v>
      </c>
      <c r="T193" s="6">
        <v>0.002867788</v>
      </c>
      <c r="U193" s="6">
        <v>0.019152942</v>
      </c>
      <c r="V193" s="6">
        <v>0</v>
      </c>
      <c r="W193" s="6">
        <v>0</v>
      </c>
      <c r="X193" s="6">
        <v>0.193933723</v>
      </c>
      <c r="Y193" s="6">
        <v>0</v>
      </c>
      <c r="Z193" s="6">
        <v>0.002272863</v>
      </c>
      <c r="AA193" s="6">
        <v>0</v>
      </c>
    </row>
    <row r="194" ht="15" hidden="1" spans="1:27">
      <c r="A194" s="6" t="s">
        <v>73</v>
      </c>
      <c r="B194" s="7" t="s">
        <v>341</v>
      </c>
      <c r="C194" s="7" t="s">
        <v>341</v>
      </c>
      <c r="D194" s="7" t="s">
        <v>24</v>
      </c>
      <c r="E194" s="7" t="s">
        <v>373</v>
      </c>
      <c r="F194" s="6">
        <v>0</v>
      </c>
      <c r="G194" s="6">
        <v>0.009045709</v>
      </c>
      <c r="H194" s="6">
        <v>0.017150552</v>
      </c>
      <c r="I194" s="6">
        <v>0.115070425</v>
      </c>
      <c r="J194" s="6">
        <v>0</v>
      </c>
      <c r="K194" s="6">
        <v>0.346251411</v>
      </c>
      <c r="L194" s="6">
        <v>0</v>
      </c>
      <c r="M194" s="6">
        <v>0</v>
      </c>
      <c r="N194" s="6">
        <v>0</v>
      </c>
      <c r="O194" s="6">
        <v>0</v>
      </c>
      <c r="P194" s="6">
        <v>0</v>
      </c>
      <c r="Q194" s="6">
        <v>0.016906153</v>
      </c>
      <c r="R194" s="6">
        <v>0.152186306</v>
      </c>
      <c r="S194" s="6">
        <v>0.010934804</v>
      </c>
      <c r="T194" s="6">
        <v>0.038590545</v>
      </c>
      <c r="U194" s="6">
        <v>0.042553548</v>
      </c>
      <c r="V194" s="6">
        <v>0.052507278</v>
      </c>
      <c r="W194" s="6">
        <v>0</v>
      </c>
      <c r="X194" s="6">
        <v>0.174033514</v>
      </c>
      <c r="Y194" s="6">
        <v>0</v>
      </c>
      <c r="Z194" s="6">
        <v>0.024769756</v>
      </c>
      <c r="AA194" s="6">
        <v>0</v>
      </c>
    </row>
    <row r="195" ht="15" hidden="1" spans="1:27">
      <c r="A195" s="6" t="s">
        <v>153</v>
      </c>
      <c r="B195" s="7" t="s">
        <v>29</v>
      </c>
      <c r="C195" s="7" t="s">
        <v>341</v>
      </c>
      <c r="D195" s="7" t="s">
        <v>31</v>
      </c>
      <c r="E195" s="7" t="s">
        <v>373</v>
      </c>
      <c r="F195" s="6">
        <v>0.105760843</v>
      </c>
      <c r="G195" s="6">
        <v>0</v>
      </c>
      <c r="H195" s="6">
        <v>0.488551001</v>
      </c>
      <c r="I195" s="6">
        <v>0.051732146</v>
      </c>
      <c r="J195" s="6">
        <v>0</v>
      </c>
      <c r="K195" s="6">
        <v>0.053948612</v>
      </c>
      <c r="L195" s="6">
        <v>0</v>
      </c>
      <c r="M195" s="6">
        <v>0</v>
      </c>
      <c r="N195" s="6">
        <v>0.006987445</v>
      </c>
      <c r="O195" s="6">
        <v>0</v>
      </c>
      <c r="P195" s="6">
        <v>0</v>
      </c>
      <c r="Q195" s="6">
        <v>0.020659577</v>
      </c>
      <c r="R195" s="6">
        <v>0.022224552</v>
      </c>
      <c r="S195" s="6">
        <v>0</v>
      </c>
      <c r="T195" s="6">
        <v>0.032041695</v>
      </c>
      <c r="U195" s="6">
        <v>0.18468833</v>
      </c>
      <c r="V195" s="6">
        <v>0</v>
      </c>
      <c r="W195" s="6">
        <v>0</v>
      </c>
      <c r="X195" s="6">
        <v>0.032907414</v>
      </c>
      <c r="Y195" s="6">
        <v>0</v>
      </c>
      <c r="Z195" s="6">
        <v>0</v>
      </c>
      <c r="AA195" s="6">
        <v>0.0005</v>
      </c>
    </row>
    <row r="196" ht="15" hidden="1" spans="1:27">
      <c r="A196" s="6" t="s">
        <v>279</v>
      </c>
      <c r="B196" s="7" t="s">
        <v>341</v>
      </c>
      <c r="C196" s="7" t="s">
        <v>341</v>
      </c>
      <c r="D196" s="7" t="s">
        <v>55</v>
      </c>
      <c r="E196" s="7" t="s">
        <v>373</v>
      </c>
      <c r="F196" s="6">
        <v>0</v>
      </c>
      <c r="G196" s="6">
        <v>0.0006</v>
      </c>
      <c r="H196" s="6">
        <v>0.015850332</v>
      </c>
      <c r="I196" s="6">
        <v>0.26845692</v>
      </c>
      <c r="J196" s="6">
        <v>0</v>
      </c>
      <c r="K196" s="6">
        <v>0.03318371</v>
      </c>
      <c r="L196" s="6">
        <v>0.006619066</v>
      </c>
      <c r="M196" s="6">
        <v>0.070828602</v>
      </c>
      <c r="N196" s="6">
        <v>0.086275213</v>
      </c>
      <c r="O196" s="6">
        <v>0</v>
      </c>
      <c r="P196" s="6">
        <v>0.020138623</v>
      </c>
      <c r="Q196" s="6">
        <v>0.0004</v>
      </c>
      <c r="R196" s="6">
        <v>0.046834936</v>
      </c>
      <c r="S196" s="6">
        <v>0</v>
      </c>
      <c r="T196" s="6">
        <v>0.102510386</v>
      </c>
      <c r="U196" s="6">
        <v>0.321167435</v>
      </c>
      <c r="V196" s="6">
        <v>0</v>
      </c>
      <c r="W196" s="6">
        <v>0</v>
      </c>
      <c r="X196" s="6">
        <v>0.027176497</v>
      </c>
      <c r="Y196" s="6">
        <v>0</v>
      </c>
      <c r="Z196" s="6">
        <v>0</v>
      </c>
      <c r="AA196" s="6">
        <v>0</v>
      </c>
    </row>
    <row r="197" ht="15" hidden="1" spans="1:27">
      <c r="A197" s="6" t="s">
        <v>295</v>
      </c>
      <c r="B197" s="7" t="s">
        <v>341</v>
      </c>
      <c r="C197" s="7" t="s">
        <v>341</v>
      </c>
      <c r="D197" s="7" t="s">
        <v>51</v>
      </c>
      <c r="E197" s="7" t="s">
        <v>373</v>
      </c>
      <c r="F197" s="6">
        <v>0.064073957</v>
      </c>
      <c r="G197" s="6">
        <v>0</v>
      </c>
      <c r="H197" s="6">
        <v>0.056625192</v>
      </c>
      <c r="I197" s="6">
        <v>0.241973665</v>
      </c>
      <c r="J197" s="6">
        <v>0</v>
      </c>
      <c r="K197" s="6">
        <v>0.084385907</v>
      </c>
      <c r="L197" s="6">
        <v>0.006377937</v>
      </c>
      <c r="M197" s="6">
        <v>0.036692799</v>
      </c>
      <c r="N197" s="6">
        <v>0.037714945</v>
      </c>
      <c r="O197" s="6">
        <v>0</v>
      </c>
      <c r="P197" s="6">
        <v>0.0001</v>
      </c>
      <c r="Q197" s="6">
        <v>0.004087067</v>
      </c>
      <c r="R197" s="6">
        <v>0.099351727</v>
      </c>
      <c r="S197" s="6">
        <v>0.047321533</v>
      </c>
      <c r="T197" s="6">
        <v>0.136375736</v>
      </c>
      <c r="U197" s="6">
        <v>0.157980744</v>
      </c>
      <c r="V197" s="6">
        <v>0</v>
      </c>
      <c r="W197" s="6">
        <v>0</v>
      </c>
      <c r="X197" s="6">
        <v>0.026950883</v>
      </c>
      <c r="Y197" s="6">
        <v>0</v>
      </c>
      <c r="Z197" s="6">
        <v>0</v>
      </c>
      <c r="AA197" s="6">
        <v>0</v>
      </c>
    </row>
    <row r="198" ht="15" hidden="1" spans="1:27">
      <c r="A198" s="6" t="s">
        <v>221</v>
      </c>
      <c r="B198" s="7" t="s">
        <v>344</v>
      </c>
      <c r="C198" s="7" t="s">
        <v>341</v>
      </c>
      <c r="D198" s="7" t="s">
        <v>55</v>
      </c>
      <c r="E198" s="7" t="s">
        <v>373</v>
      </c>
      <c r="F198" s="6">
        <v>0</v>
      </c>
      <c r="G198" s="6">
        <v>0.017124158</v>
      </c>
      <c r="H198" s="6">
        <v>0.016606221</v>
      </c>
      <c r="I198" s="6">
        <v>0.201446842</v>
      </c>
      <c r="J198" s="6">
        <v>0</v>
      </c>
      <c r="K198" s="6">
        <v>0.132765355</v>
      </c>
      <c r="L198" s="6">
        <v>0.008707806</v>
      </c>
      <c r="M198" s="6">
        <v>0.01765302</v>
      </c>
      <c r="N198" s="6">
        <v>0.020975766</v>
      </c>
      <c r="O198" s="6">
        <v>0</v>
      </c>
      <c r="P198" s="6">
        <v>0</v>
      </c>
      <c r="Q198" s="6">
        <v>0.028278801</v>
      </c>
      <c r="R198" s="6">
        <v>0.058284274</v>
      </c>
      <c r="S198" s="6">
        <v>0</v>
      </c>
      <c r="T198" s="6">
        <v>0.049025176</v>
      </c>
      <c r="U198" s="6">
        <v>0.334418611</v>
      </c>
      <c r="V198" s="6">
        <v>0</v>
      </c>
      <c r="W198" s="6">
        <v>0.063757655</v>
      </c>
      <c r="X198" s="6">
        <v>0.050956316</v>
      </c>
      <c r="Y198" s="6">
        <v>0</v>
      </c>
      <c r="Z198" s="6">
        <v>0</v>
      </c>
      <c r="AA198" s="6">
        <v>0</v>
      </c>
    </row>
    <row r="199" ht="15" hidden="1" spans="1:27">
      <c r="A199" s="6" t="s">
        <v>320</v>
      </c>
      <c r="B199" s="7" t="s">
        <v>29</v>
      </c>
      <c r="C199" s="7" t="s">
        <v>341</v>
      </c>
      <c r="D199" s="7" t="s">
        <v>55</v>
      </c>
      <c r="E199" s="7" t="s">
        <v>373</v>
      </c>
      <c r="F199" s="6">
        <v>0.054697144</v>
      </c>
      <c r="G199" s="6">
        <v>0</v>
      </c>
      <c r="H199" s="6">
        <v>0.299399142</v>
      </c>
      <c r="I199" s="6">
        <v>0.115850029</v>
      </c>
      <c r="J199" s="6">
        <v>0</v>
      </c>
      <c r="K199" s="6">
        <v>0.111273223</v>
      </c>
      <c r="L199" s="6">
        <v>0</v>
      </c>
      <c r="M199" s="6">
        <v>0.016606244</v>
      </c>
      <c r="N199" s="6">
        <v>0.052784724</v>
      </c>
      <c r="O199" s="6">
        <v>0</v>
      </c>
      <c r="P199" s="6">
        <v>0.013631376</v>
      </c>
      <c r="Q199" s="6">
        <v>0.015433662</v>
      </c>
      <c r="R199" s="6">
        <v>0.030463571</v>
      </c>
      <c r="S199" s="6">
        <v>0</v>
      </c>
      <c r="T199" s="6">
        <v>0.078894377</v>
      </c>
      <c r="U199" s="6">
        <v>0.17610884</v>
      </c>
      <c r="V199" s="6">
        <v>0</v>
      </c>
      <c r="W199" s="6">
        <v>0</v>
      </c>
      <c r="X199" s="6">
        <v>0.034857668</v>
      </c>
      <c r="Y199" s="6">
        <v>0</v>
      </c>
      <c r="Z199" s="6">
        <v>0</v>
      </c>
      <c r="AA199" s="6">
        <v>0</v>
      </c>
    </row>
    <row r="200" ht="15" hidden="1" spans="1:27">
      <c r="A200" s="6" t="s">
        <v>112</v>
      </c>
      <c r="B200" s="7" t="s">
        <v>344</v>
      </c>
      <c r="C200" s="7" t="s">
        <v>341</v>
      </c>
      <c r="D200" s="7" t="s">
        <v>89</v>
      </c>
      <c r="E200" s="7" t="s">
        <v>373</v>
      </c>
      <c r="F200" s="6">
        <v>0.022239289</v>
      </c>
      <c r="G200" s="6">
        <v>0</v>
      </c>
      <c r="H200" s="6">
        <v>0.02338786</v>
      </c>
      <c r="I200" s="6">
        <v>0.216735656</v>
      </c>
      <c r="J200" s="6">
        <v>0</v>
      </c>
      <c r="K200" s="6">
        <v>0.196242046</v>
      </c>
      <c r="L200" s="6">
        <v>0.02443781</v>
      </c>
      <c r="M200" s="6">
        <v>0</v>
      </c>
      <c r="N200" s="6">
        <v>0.005193655</v>
      </c>
      <c r="O200" s="6">
        <v>0</v>
      </c>
      <c r="P200" s="6">
        <v>0</v>
      </c>
      <c r="Q200" s="6">
        <v>0.002041088</v>
      </c>
      <c r="R200" s="6">
        <v>0.025165033</v>
      </c>
      <c r="S200" s="6">
        <v>0.04378522</v>
      </c>
      <c r="T200" s="6">
        <v>0.105368771</v>
      </c>
      <c r="U200" s="6">
        <v>0.284105636</v>
      </c>
      <c r="V200" s="6">
        <v>0.005898719</v>
      </c>
      <c r="W200" s="6">
        <v>0</v>
      </c>
      <c r="X200" s="6">
        <v>0.045399218</v>
      </c>
      <c r="Y200" s="6">
        <v>0</v>
      </c>
      <c r="Z200" s="6">
        <v>0</v>
      </c>
      <c r="AA200" s="6">
        <v>0</v>
      </c>
    </row>
    <row r="201" ht="15" hidden="1" spans="1:27">
      <c r="A201" s="6" t="s">
        <v>165</v>
      </c>
      <c r="B201" s="7" t="s">
        <v>29</v>
      </c>
      <c r="C201" s="7" t="s">
        <v>341</v>
      </c>
      <c r="D201" s="7" t="s">
        <v>89</v>
      </c>
      <c r="E201" s="7" t="s">
        <v>373</v>
      </c>
      <c r="F201" s="6">
        <v>0.014299543</v>
      </c>
      <c r="G201" s="6">
        <v>0</v>
      </c>
      <c r="H201" s="6">
        <v>0.009990825</v>
      </c>
      <c r="I201" s="6">
        <v>0.341935655</v>
      </c>
      <c r="J201" s="6">
        <v>0</v>
      </c>
      <c r="K201" s="6">
        <v>0.032147995</v>
      </c>
      <c r="L201" s="6">
        <v>0.003981814</v>
      </c>
      <c r="M201" s="6">
        <v>0.020845677</v>
      </c>
      <c r="N201" s="6">
        <v>0.029305138</v>
      </c>
      <c r="O201" s="6">
        <v>0</v>
      </c>
      <c r="P201" s="6">
        <v>0</v>
      </c>
      <c r="Q201" s="6">
        <v>0.01000522</v>
      </c>
      <c r="R201" s="6">
        <v>0.05782493</v>
      </c>
      <c r="S201" s="6">
        <v>0</v>
      </c>
      <c r="T201" s="6">
        <v>0.094521832</v>
      </c>
      <c r="U201" s="6">
        <v>0.344433912</v>
      </c>
      <c r="V201" s="6">
        <v>0</v>
      </c>
      <c r="W201" s="6">
        <v>0</v>
      </c>
      <c r="X201" s="6">
        <v>0.040707458</v>
      </c>
      <c r="Y201" s="6">
        <v>0</v>
      </c>
      <c r="Z201" s="6">
        <v>0</v>
      </c>
      <c r="AA201" s="6">
        <v>0</v>
      </c>
    </row>
    <row r="202" ht="15" hidden="1" spans="1:27">
      <c r="A202" s="6" t="s">
        <v>88</v>
      </c>
      <c r="B202" s="7" t="s">
        <v>344</v>
      </c>
      <c r="C202" s="7" t="s">
        <v>341</v>
      </c>
      <c r="D202" s="7" t="s">
        <v>89</v>
      </c>
      <c r="E202" s="7" t="s">
        <v>373</v>
      </c>
      <c r="F202" s="6">
        <v>0.164631379</v>
      </c>
      <c r="G202" s="6">
        <v>0</v>
      </c>
      <c r="H202" s="6">
        <v>0.148791378</v>
      </c>
      <c r="I202" s="6">
        <v>0.05094837</v>
      </c>
      <c r="J202" s="6">
        <v>0</v>
      </c>
      <c r="K202" s="6">
        <v>0.165229933</v>
      </c>
      <c r="L202" s="6">
        <v>0.024674336</v>
      </c>
      <c r="M202" s="6">
        <v>0</v>
      </c>
      <c r="N202" s="6">
        <v>0.022846692</v>
      </c>
      <c r="O202" s="6">
        <v>0</v>
      </c>
      <c r="P202" s="6">
        <v>0</v>
      </c>
      <c r="Q202" s="6">
        <v>0.002854734</v>
      </c>
      <c r="R202" s="6">
        <v>0.009798239</v>
      </c>
      <c r="S202" s="6">
        <v>0.057455368</v>
      </c>
      <c r="T202" s="6">
        <v>0.015728753</v>
      </c>
      <c r="U202" s="6">
        <v>0.314338797</v>
      </c>
      <c r="V202" s="6">
        <v>0</v>
      </c>
      <c r="W202" s="6">
        <v>0.003336177</v>
      </c>
      <c r="X202" s="6">
        <v>0.019365843</v>
      </c>
      <c r="Y202" s="6">
        <v>0</v>
      </c>
      <c r="Z202" s="6">
        <v>0</v>
      </c>
      <c r="AA202" s="6">
        <v>0</v>
      </c>
    </row>
    <row r="203" ht="15" hidden="1" spans="1:27">
      <c r="A203" s="6" t="s">
        <v>328</v>
      </c>
      <c r="B203" s="7" t="s">
        <v>29</v>
      </c>
      <c r="C203" s="7" t="s">
        <v>341</v>
      </c>
      <c r="D203" s="7" t="s">
        <v>89</v>
      </c>
      <c r="E203" s="7" t="s">
        <v>373</v>
      </c>
      <c r="F203" s="6">
        <v>0.125976782</v>
      </c>
      <c r="G203" s="6">
        <v>0</v>
      </c>
      <c r="H203" s="6">
        <v>0.005750861</v>
      </c>
      <c r="I203" s="6">
        <v>0.136501662</v>
      </c>
      <c r="J203" s="6">
        <v>0</v>
      </c>
      <c r="K203" s="6">
        <v>0.133921665</v>
      </c>
      <c r="L203" s="6">
        <v>0</v>
      </c>
      <c r="M203" s="6">
        <v>0.012892406</v>
      </c>
      <c r="N203" s="6">
        <v>0.019467467</v>
      </c>
      <c r="O203" s="6">
        <v>0</v>
      </c>
      <c r="P203" s="6">
        <v>0</v>
      </c>
      <c r="Q203" s="6">
        <v>0.051965048</v>
      </c>
      <c r="R203" s="6">
        <v>0.019293154</v>
      </c>
      <c r="S203" s="6">
        <v>0</v>
      </c>
      <c r="T203" s="6">
        <v>0.082776075</v>
      </c>
      <c r="U203" s="6">
        <v>0.33346065</v>
      </c>
      <c r="V203" s="6">
        <v>0</v>
      </c>
      <c r="W203" s="6">
        <v>0</v>
      </c>
      <c r="X203" s="6">
        <v>0.07799423</v>
      </c>
      <c r="Y203" s="6">
        <v>0</v>
      </c>
      <c r="Z203" s="6">
        <v>0</v>
      </c>
      <c r="AA203" s="6">
        <v>0</v>
      </c>
    </row>
    <row r="204" ht="15" hidden="1" spans="1:27">
      <c r="A204" s="6" t="s">
        <v>135</v>
      </c>
      <c r="B204" s="7" t="s">
        <v>29</v>
      </c>
      <c r="C204" s="7" t="s">
        <v>341</v>
      </c>
      <c r="D204" s="7" t="s">
        <v>51</v>
      </c>
      <c r="E204" s="7" t="s">
        <v>373</v>
      </c>
      <c r="F204" s="6">
        <v>0.102905921</v>
      </c>
      <c r="G204" s="6">
        <v>0</v>
      </c>
      <c r="H204" s="6">
        <v>0.089018434</v>
      </c>
      <c r="I204" s="6">
        <v>0.081039981</v>
      </c>
      <c r="J204" s="6">
        <v>0</v>
      </c>
      <c r="K204" s="6">
        <v>0.198960797</v>
      </c>
      <c r="L204" s="6">
        <v>0.023929958</v>
      </c>
      <c r="M204" s="6">
        <v>0.003865798</v>
      </c>
      <c r="N204" s="6">
        <v>0.058139617</v>
      </c>
      <c r="O204" s="6">
        <v>0</v>
      </c>
      <c r="P204" s="6">
        <v>0.013571979</v>
      </c>
      <c r="Q204" s="6">
        <v>0</v>
      </c>
      <c r="R204" s="6">
        <v>0.017908049</v>
      </c>
      <c r="S204" s="6">
        <v>0.089567908</v>
      </c>
      <c r="T204" s="6">
        <v>0.089571124</v>
      </c>
      <c r="U204" s="6">
        <v>0.214071976</v>
      </c>
      <c r="V204" s="6">
        <v>0</v>
      </c>
      <c r="W204" s="6">
        <v>0</v>
      </c>
      <c r="X204" s="6">
        <v>0.017448459</v>
      </c>
      <c r="Y204" s="6">
        <v>0</v>
      </c>
      <c r="Z204" s="6">
        <v>0</v>
      </c>
      <c r="AA204" s="6">
        <v>0</v>
      </c>
    </row>
    <row r="205" ht="15" hidden="1" spans="1:27">
      <c r="A205" s="6" t="s">
        <v>310</v>
      </c>
      <c r="B205" s="7" t="s">
        <v>29</v>
      </c>
      <c r="C205" s="7" t="s">
        <v>341</v>
      </c>
      <c r="D205" s="7" t="s">
        <v>89</v>
      </c>
      <c r="E205" s="7" t="s">
        <v>373</v>
      </c>
      <c r="F205" s="6">
        <v>0</v>
      </c>
      <c r="G205" s="6">
        <v>0</v>
      </c>
      <c r="H205" s="6">
        <v>0.006893093</v>
      </c>
      <c r="I205" s="6">
        <v>0.443941</v>
      </c>
      <c r="J205" s="6">
        <v>0</v>
      </c>
      <c r="K205" s="6">
        <v>0.053526503</v>
      </c>
      <c r="L205" s="6">
        <v>0.002844427</v>
      </c>
      <c r="M205" s="6">
        <v>0.034135797</v>
      </c>
      <c r="N205" s="6">
        <v>0.026461639</v>
      </c>
      <c r="O205" s="6">
        <v>0</v>
      </c>
      <c r="P205" s="6">
        <v>0</v>
      </c>
      <c r="Q205" s="6">
        <v>0.037632083</v>
      </c>
      <c r="R205" s="6">
        <v>0.020378682</v>
      </c>
      <c r="S205" s="6">
        <v>0.140892653</v>
      </c>
      <c r="T205" s="6">
        <v>0.060582674</v>
      </c>
      <c r="U205" s="6">
        <v>0.165612508</v>
      </c>
      <c r="V205" s="6">
        <v>0</v>
      </c>
      <c r="W205" s="6">
        <v>0</v>
      </c>
      <c r="X205" s="6">
        <v>0.007098939</v>
      </c>
      <c r="Y205" s="6">
        <v>0</v>
      </c>
      <c r="Z205" s="6">
        <v>0</v>
      </c>
      <c r="AA205" s="6">
        <v>0</v>
      </c>
    </row>
    <row r="206" ht="15" hidden="1" spans="1:27">
      <c r="A206" s="6" t="s">
        <v>230</v>
      </c>
      <c r="B206" s="7" t="s">
        <v>341</v>
      </c>
      <c r="C206" s="7" t="s">
        <v>341</v>
      </c>
      <c r="D206" s="7" t="s">
        <v>31</v>
      </c>
      <c r="E206" s="7" t="s">
        <v>373</v>
      </c>
      <c r="F206" s="6">
        <v>0.089122273</v>
      </c>
      <c r="G206" s="6">
        <v>0</v>
      </c>
      <c r="H206" s="6">
        <v>0</v>
      </c>
      <c r="I206" s="6">
        <v>0.016777539</v>
      </c>
      <c r="J206" s="6">
        <v>0</v>
      </c>
      <c r="K206" s="6">
        <v>0.3927908</v>
      </c>
      <c r="L206" s="6">
        <v>0</v>
      </c>
      <c r="M206" s="6">
        <v>0</v>
      </c>
      <c r="N206" s="6">
        <v>0.008676362</v>
      </c>
      <c r="O206" s="6">
        <v>0</v>
      </c>
      <c r="P206" s="6">
        <v>0.011598591</v>
      </c>
      <c r="Q206" s="6">
        <v>0.052729506</v>
      </c>
      <c r="R206" s="6">
        <v>0.066247617</v>
      </c>
      <c r="S206" s="6">
        <v>0.146471064</v>
      </c>
      <c r="T206" s="6">
        <v>0.0003</v>
      </c>
      <c r="U206" s="6">
        <v>0.173642228</v>
      </c>
      <c r="V206" s="6">
        <v>0</v>
      </c>
      <c r="W206" s="6">
        <v>0</v>
      </c>
      <c r="X206" s="6">
        <v>0.02711941</v>
      </c>
      <c r="Y206" s="6">
        <v>0</v>
      </c>
      <c r="Z206" s="6">
        <v>0.014574025</v>
      </c>
      <c r="AA206" s="6">
        <v>0</v>
      </c>
    </row>
    <row r="207" ht="15" hidden="1" spans="1:27">
      <c r="A207" s="6" t="s">
        <v>59</v>
      </c>
      <c r="B207" s="7" t="s">
        <v>344</v>
      </c>
      <c r="C207" s="7" t="s">
        <v>344</v>
      </c>
      <c r="D207" s="7" t="s">
        <v>31</v>
      </c>
      <c r="E207" s="7" t="s">
        <v>373</v>
      </c>
      <c r="F207" s="6">
        <v>0</v>
      </c>
      <c r="G207" s="6">
        <v>0.030544503</v>
      </c>
      <c r="H207" s="6">
        <v>0.008543958</v>
      </c>
      <c r="I207" s="6">
        <v>0.090367967</v>
      </c>
      <c r="J207" s="6">
        <v>0</v>
      </c>
      <c r="K207" s="6">
        <v>0.11010885</v>
      </c>
      <c r="L207" s="6">
        <v>0</v>
      </c>
      <c r="M207" s="6">
        <v>0</v>
      </c>
      <c r="N207" s="6">
        <v>0.00344348</v>
      </c>
      <c r="O207" s="6">
        <v>0</v>
      </c>
      <c r="P207" s="6">
        <v>0.0005</v>
      </c>
      <c r="Q207" s="6">
        <v>0.064768853</v>
      </c>
      <c r="R207" s="6">
        <v>0.157911442</v>
      </c>
      <c r="S207" s="6">
        <v>0.015542168</v>
      </c>
      <c r="T207" s="6">
        <v>0.025063222</v>
      </c>
      <c r="U207" s="6">
        <v>0.296376401</v>
      </c>
      <c r="V207" s="6">
        <v>0</v>
      </c>
      <c r="W207" s="6">
        <v>0.002459829</v>
      </c>
      <c r="X207" s="6">
        <v>0.194368364</v>
      </c>
      <c r="Y207" s="6">
        <v>0</v>
      </c>
      <c r="Z207" s="6">
        <v>0</v>
      </c>
      <c r="AA207" s="6">
        <v>0</v>
      </c>
    </row>
    <row r="208" ht="15" hidden="1" spans="1:27">
      <c r="A208" s="6" t="s">
        <v>152</v>
      </c>
      <c r="B208" s="7" t="s">
        <v>29</v>
      </c>
      <c r="C208" s="7" t="s">
        <v>341</v>
      </c>
      <c r="D208" s="7" t="s">
        <v>24</v>
      </c>
      <c r="E208" s="7" t="s">
        <v>373</v>
      </c>
      <c r="F208" s="6">
        <v>0.237378889</v>
      </c>
      <c r="G208" s="6">
        <v>0</v>
      </c>
      <c r="H208" s="6">
        <v>0.215850328</v>
      </c>
      <c r="I208" s="6">
        <v>0.008610796</v>
      </c>
      <c r="J208" s="6">
        <v>0</v>
      </c>
      <c r="K208" s="6">
        <v>0.109907752</v>
      </c>
      <c r="L208" s="6">
        <v>0</v>
      </c>
      <c r="M208" s="6">
        <v>0.030306171</v>
      </c>
      <c r="N208" s="6">
        <v>0.010704276</v>
      </c>
      <c r="O208" s="6">
        <v>0</v>
      </c>
      <c r="P208" s="6">
        <v>0</v>
      </c>
      <c r="Q208" s="6">
        <v>0.030736674</v>
      </c>
      <c r="R208" s="6">
        <v>0</v>
      </c>
      <c r="S208" s="6">
        <v>0.137254791</v>
      </c>
      <c r="T208" s="6">
        <v>0</v>
      </c>
      <c r="U208" s="6">
        <v>0.092151047</v>
      </c>
      <c r="V208" s="6">
        <v>0</v>
      </c>
      <c r="W208" s="6">
        <v>0</v>
      </c>
      <c r="X208" s="6">
        <v>0.127099275</v>
      </c>
      <c r="Y208" s="6">
        <v>0</v>
      </c>
      <c r="Z208" s="6">
        <v>0</v>
      </c>
      <c r="AA208" s="6">
        <v>0</v>
      </c>
    </row>
    <row r="209" ht="15" hidden="1" spans="1:27">
      <c r="A209" s="6" t="s">
        <v>114</v>
      </c>
      <c r="B209" s="7" t="s">
        <v>344</v>
      </c>
      <c r="C209" s="7" t="s">
        <v>341</v>
      </c>
      <c r="D209" s="7" t="s">
        <v>24</v>
      </c>
      <c r="E209" s="7" t="s">
        <v>373</v>
      </c>
      <c r="F209" s="6">
        <v>0.166278324</v>
      </c>
      <c r="G209" s="6">
        <v>0</v>
      </c>
      <c r="H209" s="6">
        <v>0</v>
      </c>
      <c r="I209" s="6">
        <v>0</v>
      </c>
      <c r="J209" s="6">
        <v>0</v>
      </c>
      <c r="K209" s="6">
        <v>0.378755903</v>
      </c>
      <c r="L209" s="6">
        <v>0</v>
      </c>
      <c r="M209" s="6">
        <v>0</v>
      </c>
      <c r="N209" s="6">
        <v>0.058598008</v>
      </c>
      <c r="O209" s="6">
        <v>0</v>
      </c>
      <c r="P209" s="6">
        <v>0</v>
      </c>
      <c r="Q209" s="6">
        <v>0.102985532</v>
      </c>
      <c r="R209" s="6">
        <v>0.041356563</v>
      </c>
      <c r="S209" s="6">
        <v>0.102422072</v>
      </c>
      <c r="T209" s="6">
        <v>0</v>
      </c>
      <c r="U209" s="6">
        <v>0</v>
      </c>
      <c r="V209" s="6">
        <v>0</v>
      </c>
      <c r="W209" s="6">
        <v>0</v>
      </c>
      <c r="X209" s="6">
        <v>0.149603599</v>
      </c>
      <c r="Y209" s="6">
        <v>0</v>
      </c>
      <c r="Z209" s="6">
        <v>0</v>
      </c>
      <c r="AA209" s="6">
        <v>0</v>
      </c>
    </row>
    <row r="210" ht="15" spans="1:27">
      <c r="A210" s="6" t="s">
        <v>140</v>
      </c>
      <c r="B210" s="7" t="s">
        <v>29</v>
      </c>
      <c r="C210" s="7" t="s">
        <v>29</v>
      </c>
      <c r="D210" s="7" t="s">
        <v>18</v>
      </c>
      <c r="E210" s="7" t="s">
        <v>373</v>
      </c>
      <c r="F210" s="6">
        <v>0.04699976</v>
      </c>
      <c r="G210" s="6">
        <v>0</v>
      </c>
      <c r="H210" s="6">
        <v>0.049300176</v>
      </c>
      <c r="I210" s="6">
        <v>0.055970959</v>
      </c>
      <c r="J210" s="6">
        <v>0</v>
      </c>
      <c r="K210" s="6">
        <v>0.184712619</v>
      </c>
      <c r="L210" s="6">
        <v>0</v>
      </c>
      <c r="M210" s="6">
        <v>0</v>
      </c>
      <c r="N210" s="6">
        <v>0.034186571</v>
      </c>
      <c r="O210" s="6">
        <v>0</v>
      </c>
      <c r="P210" s="6">
        <v>0.068114479</v>
      </c>
      <c r="Q210" s="6">
        <v>0</v>
      </c>
      <c r="R210" s="6">
        <v>0.090843357</v>
      </c>
      <c r="S210" s="6">
        <v>0.021914158</v>
      </c>
      <c r="T210" s="6">
        <v>0.037918567</v>
      </c>
      <c r="U210" s="6">
        <v>0.133445763</v>
      </c>
      <c r="V210" s="6">
        <v>0</v>
      </c>
      <c r="W210" s="6">
        <v>0</v>
      </c>
      <c r="X210" s="6">
        <v>0.27659359</v>
      </c>
      <c r="Y210" s="6">
        <v>0</v>
      </c>
      <c r="Z210" s="6">
        <v>0</v>
      </c>
      <c r="AA210" s="6">
        <v>0</v>
      </c>
    </row>
    <row r="211" ht="15" spans="1:27">
      <c r="A211" s="6" t="s">
        <v>325</v>
      </c>
      <c r="B211" s="7" t="s">
        <v>29</v>
      </c>
      <c r="C211" s="7" t="s">
        <v>29</v>
      </c>
      <c r="D211" s="7" t="s">
        <v>31</v>
      </c>
      <c r="E211" s="7" t="s">
        <v>373</v>
      </c>
      <c r="F211" s="6">
        <v>0.265901375</v>
      </c>
      <c r="G211" s="6">
        <v>0</v>
      </c>
      <c r="H211" s="6">
        <v>0.224845332</v>
      </c>
      <c r="I211" s="6">
        <v>0.019986417</v>
      </c>
      <c r="J211" s="6">
        <v>0</v>
      </c>
      <c r="K211" s="6">
        <v>0.092058917</v>
      </c>
      <c r="L211" s="6">
        <v>0.001030704</v>
      </c>
      <c r="M211" s="6">
        <v>0.001588995</v>
      </c>
      <c r="N211" s="6">
        <v>0</v>
      </c>
      <c r="O211" s="6">
        <v>0</v>
      </c>
      <c r="P211" s="6">
        <v>0</v>
      </c>
      <c r="Q211" s="6">
        <v>0.020306993</v>
      </c>
      <c r="R211" s="6">
        <v>0.013094477</v>
      </c>
      <c r="S211" s="6">
        <v>0.002954521</v>
      </c>
      <c r="T211" s="6">
        <v>0.016320482</v>
      </c>
      <c r="U211" s="6">
        <v>0.229357868</v>
      </c>
      <c r="V211" s="6">
        <v>0</v>
      </c>
      <c r="W211" s="6">
        <v>0</v>
      </c>
      <c r="X211" s="6">
        <v>0.112553918</v>
      </c>
      <c r="Y211" s="6">
        <v>0</v>
      </c>
      <c r="Z211" s="6">
        <v>0</v>
      </c>
      <c r="AA211" s="6">
        <v>0</v>
      </c>
    </row>
    <row r="212" ht="15" spans="1:27">
      <c r="A212" s="6" t="s">
        <v>130</v>
      </c>
      <c r="B212" s="7" t="s">
        <v>29</v>
      </c>
      <c r="C212" s="7" t="s">
        <v>29</v>
      </c>
      <c r="D212" s="7" t="s">
        <v>131</v>
      </c>
      <c r="E212" s="7" t="s">
        <v>373</v>
      </c>
      <c r="F212" s="6">
        <v>0.079483654</v>
      </c>
      <c r="G212" s="6">
        <v>0</v>
      </c>
      <c r="H212" s="6">
        <v>0</v>
      </c>
      <c r="I212" s="6">
        <v>0</v>
      </c>
      <c r="J212" s="6">
        <v>0</v>
      </c>
      <c r="K212" s="6">
        <v>0.231208086</v>
      </c>
      <c r="L212" s="6">
        <v>0</v>
      </c>
      <c r="M212" s="6">
        <v>0</v>
      </c>
      <c r="N212" s="6">
        <v>0.035026091</v>
      </c>
      <c r="O212" s="6">
        <v>0</v>
      </c>
      <c r="P212" s="6">
        <v>0</v>
      </c>
      <c r="Q212" s="6">
        <v>0.056212794</v>
      </c>
      <c r="R212" s="6">
        <v>0.042795628</v>
      </c>
      <c r="S212" s="6">
        <v>0.155395854</v>
      </c>
      <c r="T212" s="6">
        <v>0.040708677</v>
      </c>
      <c r="U212" s="6">
        <v>0.254537865</v>
      </c>
      <c r="V212" s="6">
        <v>0</v>
      </c>
      <c r="W212" s="6">
        <v>0</v>
      </c>
      <c r="X212" s="6">
        <v>0.104631351</v>
      </c>
      <c r="Y212" s="6">
        <v>0</v>
      </c>
      <c r="Z212" s="6">
        <v>0</v>
      </c>
      <c r="AA212" s="6">
        <v>0</v>
      </c>
    </row>
    <row r="213" ht="15" hidden="1" spans="1:27">
      <c r="A213" s="6" t="s">
        <v>260</v>
      </c>
      <c r="B213" s="7" t="s">
        <v>29</v>
      </c>
      <c r="C213" s="7" t="s">
        <v>341</v>
      </c>
      <c r="D213" s="7" t="s">
        <v>18</v>
      </c>
      <c r="E213" s="7" t="s">
        <v>373</v>
      </c>
      <c r="F213" s="6">
        <v>0.076870795</v>
      </c>
      <c r="G213" s="6">
        <v>0</v>
      </c>
      <c r="H213" s="6">
        <v>0.0008</v>
      </c>
      <c r="I213" s="6">
        <v>0.036887211</v>
      </c>
      <c r="J213" s="6">
        <v>0</v>
      </c>
      <c r="K213" s="6">
        <v>0.202435158</v>
      </c>
      <c r="L213" s="6">
        <v>0</v>
      </c>
      <c r="M213" s="6">
        <v>0.00938042</v>
      </c>
      <c r="N213" s="6">
        <v>0.026979999</v>
      </c>
      <c r="O213" s="6">
        <v>0</v>
      </c>
      <c r="P213" s="6">
        <v>0</v>
      </c>
      <c r="Q213" s="6">
        <v>0.04275632</v>
      </c>
      <c r="R213" s="6">
        <v>0.01953143</v>
      </c>
      <c r="S213" s="6">
        <v>0.093589845</v>
      </c>
      <c r="T213" s="6">
        <v>0.044803083</v>
      </c>
      <c r="U213" s="6">
        <v>0.196098281</v>
      </c>
      <c r="V213" s="6">
        <v>0</v>
      </c>
      <c r="W213" s="6">
        <v>0</v>
      </c>
      <c r="X213" s="6">
        <v>0.249861347</v>
      </c>
      <c r="Y213" s="6">
        <v>0</v>
      </c>
      <c r="Z213" s="6">
        <v>0</v>
      </c>
      <c r="AA213" s="6">
        <v>0</v>
      </c>
    </row>
    <row r="214" ht="15" hidden="1" spans="1:27">
      <c r="A214" s="6" t="s">
        <v>321</v>
      </c>
      <c r="B214" s="7" t="s">
        <v>344</v>
      </c>
      <c r="C214" s="7" t="s">
        <v>29</v>
      </c>
      <c r="D214" s="7" t="s">
        <v>18</v>
      </c>
      <c r="E214" s="7" t="s">
        <v>373</v>
      </c>
      <c r="F214" s="6">
        <v>0.130026346</v>
      </c>
      <c r="G214" s="6">
        <v>0</v>
      </c>
      <c r="H214" s="6">
        <v>0</v>
      </c>
      <c r="I214" s="6">
        <v>0</v>
      </c>
      <c r="J214" s="6">
        <v>0</v>
      </c>
      <c r="K214" s="6">
        <v>0.153424872</v>
      </c>
      <c r="L214" s="6">
        <v>0</v>
      </c>
      <c r="M214" s="6">
        <v>0.001878636</v>
      </c>
      <c r="N214" s="6">
        <v>0</v>
      </c>
      <c r="O214" s="6">
        <v>0</v>
      </c>
      <c r="P214" s="6">
        <v>0</v>
      </c>
      <c r="Q214" s="6">
        <v>0.029035793</v>
      </c>
      <c r="R214" s="6">
        <v>0.069089332</v>
      </c>
      <c r="S214" s="6">
        <v>0.037433135</v>
      </c>
      <c r="T214" s="6">
        <v>0.027308191</v>
      </c>
      <c r="U214" s="6">
        <v>0.332811537</v>
      </c>
      <c r="V214" s="6">
        <v>0</v>
      </c>
      <c r="W214" s="6">
        <v>0</v>
      </c>
      <c r="X214" s="6">
        <v>0.218992157</v>
      </c>
      <c r="Y214" s="6">
        <v>0</v>
      </c>
      <c r="Z214" s="6">
        <v>0</v>
      </c>
      <c r="AA214" s="6">
        <v>0</v>
      </c>
    </row>
    <row r="215" ht="15" spans="1:27">
      <c r="A215" s="6" t="s">
        <v>214</v>
      </c>
      <c r="B215" s="7" t="s">
        <v>29</v>
      </c>
      <c r="C215" s="7" t="s">
        <v>29</v>
      </c>
      <c r="D215" s="7" t="s">
        <v>18</v>
      </c>
      <c r="E215" s="7" t="s">
        <v>373</v>
      </c>
      <c r="F215" s="6">
        <v>0.143343407</v>
      </c>
      <c r="G215" s="6">
        <v>0</v>
      </c>
      <c r="H215" s="6">
        <v>0</v>
      </c>
      <c r="I215" s="6">
        <v>0.051046822</v>
      </c>
      <c r="J215" s="6">
        <v>0</v>
      </c>
      <c r="K215" s="6">
        <v>0.23221918</v>
      </c>
      <c r="L215" s="6">
        <v>0</v>
      </c>
      <c r="M215" s="6">
        <v>0.016102245</v>
      </c>
      <c r="N215" s="6">
        <v>0.005352909</v>
      </c>
      <c r="O215" s="6">
        <v>0</v>
      </c>
      <c r="P215" s="6">
        <v>0</v>
      </c>
      <c r="Q215" s="6">
        <v>0.0400134</v>
      </c>
      <c r="R215" s="6">
        <v>0.034941064</v>
      </c>
      <c r="S215" s="6">
        <v>0.030775664</v>
      </c>
      <c r="T215" s="6">
        <v>0.00521271</v>
      </c>
      <c r="U215" s="6">
        <v>0.307764</v>
      </c>
      <c r="V215" s="6">
        <v>0</v>
      </c>
      <c r="W215" s="6">
        <v>0.019548979</v>
      </c>
      <c r="X215" s="6">
        <v>0.113327868</v>
      </c>
      <c r="Y215" s="6">
        <v>0</v>
      </c>
      <c r="Z215" s="6">
        <v>0</v>
      </c>
      <c r="AA215" s="6">
        <v>0.0004</v>
      </c>
    </row>
    <row r="216" ht="15" hidden="1" spans="1:27">
      <c r="A216" s="6" t="s">
        <v>184</v>
      </c>
      <c r="B216" s="7" t="s">
        <v>341</v>
      </c>
      <c r="C216" s="7" t="s">
        <v>29</v>
      </c>
      <c r="D216" s="7" t="s">
        <v>18</v>
      </c>
      <c r="E216" s="7" t="s">
        <v>373</v>
      </c>
      <c r="F216" s="6">
        <v>0.041460557</v>
      </c>
      <c r="G216" s="6">
        <v>0</v>
      </c>
      <c r="H216" s="6">
        <v>0</v>
      </c>
      <c r="I216" s="6">
        <v>0.003857805</v>
      </c>
      <c r="J216" s="6">
        <v>0</v>
      </c>
      <c r="K216" s="6">
        <v>0.21596806</v>
      </c>
      <c r="L216" s="6">
        <v>0.025938676</v>
      </c>
      <c r="M216" s="6">
        <v>0.043295657</v>
      </c>
      <c r="N216" s="6">
        <v>0</v>
      </c>
      <c r="O216" s="6">
        <v>0</v>
      </c>
      <c r="P216" s="6">
        <v>0</v>
      </c>
      <c r="Q216" s="6">
        <v>0.033069512</v>
      </c>
      <c r="R216" s="6">
        <v>0.116479813</v>
      </c>
      <c r="S216" s="6">
        <v>0.153543841</v>
      </c>
      <c r="T216" s="6">
        <v>0.069449893</v>
      </c>
      <c r="U216" s="6">
        <v>0.200054002</v>
      </c>
      <c r="V216" s="6">
        <v>0.0007</v>
      </c>
      <c r="W216" s="6">
        <v>0</v>
      </c>
      <c r="X216" s="6">
        <v>0.085128695</v>
      </c>
      <c r="Y216" s="6">
        <v>0</v>
      </c>
      <c r="Z216" s="6">
        <v>0.011056196</v>
      </c>
      <c r="AA216" s="6">
        <v>0</v>
      </c>
    </row>
    <row r="217" ht="15" hidden="1" spans="1:27">
      <c r="A217" s="6" t="s">
        <v>229</v>
      </c>
      <c r="B217" s="7" t="s">
        <v>344</v>
      </c>
      <c r="C217" s="7" t="s">
        <v>344</v>
      </c>
      <c r="D217" s="7" t="s">
        <v>18</v>
      </c>
      <c r="E217" s="7" t="s">
        <v>373</v>
      </c>
      <c r="F217" s="6">
        <v>0.062888449</v>
      </c>
      <c r="G217" s="6">
        <v>0</v>
      </c>
      <c r="H217" s="6">
        <v>0.054933258</v>
      </c>
      <c r="I217" s="6">
        <v>0.093162519</v>
      </c>
      <c r="J217" s="6">
        <v>0</v>
      </c>
      <c r="K217" s="6">
        <v>0.176507071</v>
      </c>
      <c r="L217" s="6">
        <v>0</v>
      </c>
      <c r="M217" s="6">
        <v>0</v>
      </c>
      <c r="N217" s="6">
        <v>0.032213139</v>
      </c>
      <c r="O217" s="6">
        <v>0</v>
      </c>
      <c r="P217" s="6">
        <v>0.009403784</v>
      </c>
      <c r="Q217" s="6">
        <v>0</v>
      </c>
      <c r="R217" s="6">
        <v>0.076962328</v>
      </c>
      <c r="S217" s="6">
        <v>0.055293447</v>
      </c>
      <c r="T217" s="6">
        <v>0.090668758</v>
      </c>
      <c r="U217" s="6">
        <v>0.333913012</v>
      </c>
      <c r="V217" s="6">
        <v>0</v>
      </c>
      <c r="W217" s="6">
        <v>0</v>
      </c>
      <c r="X217" s="6">
        <v>0.014054236</v>
      </c>
      <c r="Y217" s="6">
        <v>0</v>
      </c>
      <c r="Z217" s="6">
        <v>0</v>
      </c>
      <c r="AA217" s="6">
        <v>0</v>
      </c>
    </row>
    <row r="218" ht="15" hidden="1" spans="1:27">
      <c r="A218" s="6" t="s">
        <v>287</v>
      </c>
      <c r="B218" s="7" t="s">
        <v>29</v>
      </c>
      <c r="C218" s="7" t="s">
        <v>341</v>
      </c>
      <c r="D218" s="7" t="s">
        <v>18</v>
      </c>
      <c r="E218" s="7" t="s">
        <v>373</v>
      </c>
      <c r="F218" s="6">
        <v>0.108364813</v>
      </c>
      <c r="G218" s="6">
        <v>0</v>
      </c>
      <c r="H218" s="6">
        <v>0</v>
      </c>
      <c r="I218" s="6">
        <v>0.002138337</v>
      </c>
      <c r="J218" s="6">
        <v>0</v>
      </c>
      <c r="K218" s="6">
        <v>0.210634775</v>
      </c>
      <c r="L218" s="6">
        <v>0</v>
      </c>
      <c r="M218" s="6">
        <v>0.009144995</v>
      </c>
      <c r="N218" s="6">
        <v>0</v>
      </c>
      <c r="O218" s="6">
        <v>0</v>
      </c>
      <c r="P218" s="6">
        <v>0.027706013</v>
      </c>
      <c r="Q218" s="6">
        <v>0.05886072</v>
      </c>
      <c r="R218" s="6">
        <v>0.035442965</v>
      </c>
      <c r="S218" s="6">
        <v>0.111560117</v>
      </c>
      <c r="T218" s="6">
        <v>0.014631329</v>
      </c>
      <c r="U218" s="6">
        <v>0.236186455</v>
      </c>
      <c r="V218" s="6">
        <v>0</v>
      </c>
      <c r="W218" s="6">
        <v>0.025643111</v>
      </c>
      <c r="X218" s="6">
        <v>0.15968637</v>
      </c>
      <c r="Y218" s="6">
        <v>0</v>
      </c>
      <c r="Z218" s="6">
        <v>0</v>
      </c>
      <c r="AA218" s="6">
        <v>0</v>
      </c>
    </row>
    <row r="219" ht="15" spans="1:27">
      <c r="A219" s="6" t="s">
        <v>305</v>
      </c>
      <c r="B219" s="7" t="s">
        <v>29</v>
      </c>
      <c r="C219" s="7" t="s">
        <v>29</v>
      </c>
      <c r="D219" s="7" t="s">
        <v>18</v>
      </c>
      <c r="E219" s="7" t="s">
        <v>373</v>
      </c>
      <c r="F219" s="6">
        <v>0.054841961</v>
      </c>
      <c r="G219" s="6">
        <v>0</v>
      </c>
      <c r="H219" s="6">
        <v>0.00803969</v>
      </c>
      <c r="I219" s="6">
        <v>0.046328789</v>
      </c>
      <c r="J219" s="6">
        <v>0</v>
      </c>
      <c r="K219" s="6">
        <v>0.219529044</v>
      </c>
      <c r="L219" s="6">
        <v>0</v>
      </c>
      <c r="M219" s="6">
        <v>0</v>
      </c>
      <c r="N219" s="6">
        <v>0</v>
      </c>
      <c r="O219" s="6">
        <v>0</v>
      </c>
      <c r="P219" s="6">
        <v>0.019933289</v>
      </c>
      <c r="Q219" s="6">
        <v>0.040386438</v>
      </c>
      <c r="R219" s="6">
        <v>0.054998488</v>
      </c>
      <c r="S219" s="6">
        <v>0</v>
      </c>
      <c r="T219" s="6">
        <v>0.061511983</v>
      </c>
      <c r="U219" s="6">
        <v>0.321291872</v>
      </c>
      <c r="V219" s="6">
        <v>0</v>
      </c>
      <c r="W219" s="6">
        <v>0</v>
      </c>
      <c r="X219" s="6">
        <v>0.173138447</v>
      </c>
      <c r="Y219" s="6">
        <v>0</v>
      </c>
      <c r="Z219" s="6">
        <v>0</v>
      </c>
      <c r="AA219" s="6">
        <v>0</v>
      </c>
    </row>
    <row r="220" ht="15" hidden="1" spans="1:27">
      <c r="A220" s="6" t="s">
        <v>190</v>
      </c>
      <c r="B220" s="7" t="s">
        <v>29</v>
      </c>
      <c r="C220" s="7" t="s">
        <v>341</v>
      </c>
      <c r="D220" s="7" t="s">
        <v>55</v>
      </c>
      <c r="E220" s="7" t="s">
        <v>373</v>
      </c>
      <c r="F220" s="6">
        <v>0.05525143</v>
      </c>
      <c r="G220" s="6">
        <v>0</v>
      </c>
      <c r="H220" s="6">
        <v>0</v>
      </c>
      <c r="I220" s="6">
        <v>0.063509584</v>
      </c>
      <c r="J220" s="6">
        <v>0</v>
      </c>
      <c r="K220" s="6">
        <v>0.221276261</v>
      </c>
      <c r="L220" s="6">
        <v>0.016712793</v>
      </c>
      <c r="M220" s="6">
        <v>0.051705998</v>
      </c>
      <c r="N220" s="6">
        <v>0.00562721</v>
      </c>
      <c r="O220" s="6">
        <v>0</v>
      </c>
      <c r="P220" s="6">
        <v>0</v>
      </c>
      <c r="Q220" s="6">
        <v>0.049141431</v>
      </c>
      <c r="R220" s="6">
        <v>0.018652745</v>
      </c>
      <c r="S220" s="6">
        <v>0.001356595</v>
      </c>
      <c r="T220" s="6">
        <v>0.080172077</v>
      </c>
      <c r="U220" s="6">
        <v>0.320895745</v>
      </c>
      <c r="V220" s="6">
        <v>0</v>
      </c>
      <c r="W220" s="6">
        <v>0</v>
      </c>
      <c r="X220" s="6">
        <v>0.115698131</v>
      </c>
      <c r="Y220" s="6">
        <v>0</v>
      </c>
      <c r="Z220" s="6">
        <v>0</v>
      </c>
      <c r="AA220" s="6">
        <v>0</v>
      </c>
    </row>
    <row r="221" ht="15" hidden="1" spans="1:27">
      <c r="A221" s="6" t="s">
        <v>43</v>
      </c>
      <c r="B221" s="7" t="s">
        <v>344</v>
      </c>
      <c r="C221" s="7" t="s">
        <v>341</v>
      </c>
      <c r="D221" s="7" t="s">
        <v>18</v>
      </c>
      <c r="E221" s="7" t="s">
        <v>373</v>
      </c>
      <c r="F221" s="6">
        <v>0.123144039</v>
      </c>
      <c r="G221" s="6">
        <v>0</v>
      </c>
      <c r="H221" s="6">
        <v>0</v>
      </c>
      <c r="I221" s="6">
        <v>0.094889643</v>
      </c>
      <c r="J221" s="6">
        <v>0</v>
      </c>
      <c r="K221" s="6">
        <v>0.265502711</v>
      </c>
      <c r="L221" s="6">
        <v>0</v>
      </c>
      <c r="M221" s="6">
        <v>0.060396625</v>
      </c>
      <c r="N221" s="6">
        <v>0.001</v>
      </c>
      <c r="O221" s="6">
        <v>0</v>
      </c>
      <c r="P221" s="6">
        <v>0</v>
      </c>
      <c r="Q221" s="6">
        <v>0.02378965</v>
      </c>
      <c r="R221" s="6">
        <v>0.020201833</v>
      </c>
      <c r="S221" s="6">
        <v>0</v>
      </c>
      <c r="T221" s="6">
        <v>0.091982861</v>
      </c>
      <c r="U221" s="6">
        <v>0.225935093</v>
      </c>
      <c r="V221" s="6">
        <v>0</v>
      </c>
      <c r="W221" s="6">
        <v>0</v>
      </c>
      <c r="X221" s="6">
        <v>0.093193126</v>
      </c>
      <c r="Y221" s="6">
        <v>0</v>
      </c>
      <c r="Z221" s="6">
        <v>0</v>
      </c>
      <c r="AA221" s="6">
        <v>0</v>
      </c>
    </row>
    <row r="222" ht="15" hidden="1" spans="1:27">
      <c r="A222" s="6" t="s">
        <v>144</v>
      </c>
      <c r="B222" s="7" t="s">
        <v>29</v>
      </c>
      <c r="C222" s="7" t="s">
        <v>341</v>
      </c>
      <c r="D222" s="7" t="s">
        <v>18</v>
      </c>
      <c r="E222" s="7" t="s">
        <v>373</v>
      </c>
      <c r="F222" s="6">
        <v>0.123407255</v>
      </c>
      <c r="G222" s="6">
        <v>0</v>
      </c>
      <c r="H222" s="6">
        <v>0.033373291</v>
      </c>
      <c r="I222" s="6">
        <v>0.068466779</v>
      </c>
      <c r="J222" s="6">
        <v>0</v>
      </c>
      <c r="K222" s="6">
        <v>0.209180041</v>
      </c>
      <c r="L222" s="6">
        <v>0</v>
      </c>
      <c r="M222" s="6">
        <v>0.016528409</v>
      </c>
      <c r="N222" s="6">
        <v>0.003504755</v>
      </c>
      <c r="O222" s="6">
        <v>0</v>
      </c>
      <c r="P222" s="6">
        <v>0.028759355</v>
      </c>
      <c r="Q222" s="6">
        <v>0</v>
      </c>
      <c r="R222" s="6">
        <v>0.022432095</v>
      </c>
      <c r="S222" s="6">
        <v>0.200014337</v>
      </c>
      <c r="T222" s="6">
        <v>0.082172583</v>
      </c>
      <c r="U222" s="6">
        <v>0.174660053</v>
      </c>
      <c r="V222" s="6">
        <v>0</v>
      </c>
      <c r="W222" s="6">
        <v>0</v>
      </c>
      <c r="X222" s="6">
        <v>0.037501048</v>
      </c>
      <c r="Y222" s="6">
        <v>0</v>
      </c>
      <c r="Z222" s="6">
        <v>0</v>
      </c>
      <c r="AA222" s="6">
        <v>0</v>
      </c>
    </row>
    <row r="223" ht="15" hidden="1" spans="1:27">
      <c r="A223" s="6" t="s">
        <v>80</v>
      </c>
      <c r="B223" s="7" t="s">
        <v>344</v>
      </c>
      <c r="C223" s="7" t="s">
        <v>29</v>
      </c>
      <c r="D223" s="7" t="s">
        <v>18</v>
      </c>
      <c r="E223" s="7" t="s">
        <v>373</v>
      </c>
      <c r="F223" s="6">
        <v>0.075791422</v>
      </c>
      <c r="G223" s="6">
        <v>0</v>
      </c>
      <c r="H223" s="6">
        <v>0.060215548</v>
      </c>
      <c r="I223" s="6">
        <v>0.283084186</v>
      </c>
      <c r="J223" s="6">
        <v>0</v>
      </c>
      <c r="K223" s="6">
        <v>0.111497783</v>
      </c>
      <c r="L223" s="6">
        <v>0.024364263</v>
      </c>
      <c r="M223" s="6">
        <v>0.074117421</v>
      </c>
      <c r="N223" s="6">
        <v>0.058375083</v>
      </c>
      <c r="O223" s="6">
        <v>0</v>
      </c>
      <c r="P223" s="6">
        <v>0</v>
      </c>
      <c r="Q223" s="6">
        <v>0.032861809</v>
      </c>
      <c r="R223" s="6">
        <v>0.015308059</v>
      </c>
      <c r="S223" s="6">
        <v>0.087477241</v>
      </c>
      <c r="T223" s="6">
        <v>0.042665268</v>
      </c>
      <c r="U223" s="6">
        <v>0.133638124</v>
      </c>
      <c r="V223" s="6">
        <v>0</v>
      </c>
      <c r="W223" s="6">
        <v>0.0004</v>
      </c>
      <c r="X223" s="6">
        <v>0.0002</v>
      </c>
      <c r="Y223" s="6">
        <v>0</v>
      </c>
      <c r="Z223" s="6">
        <v>0</v>
      </c>
      <c r="AA223" s="6">
        <v>0</v>
      </c>
    </row>
    <row r="224" ht="15" hidden="1" spans="1:27">
      <c r="A224" s="6" t="s">
        <v>334</v>
      </c>
      <c r="B224" s="7" t="s">
        <v>344</v>
      </c>
      <c r="C224" s="7" t="s">
        <v>341</v>
      </c>
      <c r="D224" s="7" t="s">
        <v>18</v>
      </c>
      <c r="E224" s="7" t="s">
        <v>373</v>
      </c>
      <c r="F224" s="6">
        <v>0.092044302</v>
      </c>
      <c r="G224" s="6">
        <v>0</v>
      </c>
      <c r="H224" s="6">
        <v>0</v>
      </c>
      <c r="I224" s="6">
        <v>0.166863325</v>
      </c>
      <c r="J224" s="6">
        <v>0</v>
      </c>
      <c r="K224" s="6">
        <v>0.174599318</v>
      </c>
      <c r="L224" s="6">
        <v>0</v>
      </c>
      <c r="M224" s="6">
        <v>0.017647567</v>
      </c>
      <c r="N224" s="6">
        <v>0.045649901</v>
      </c>
      <c r="O224" s="6">
        <v>0</v>
      </c>
      <c r="P224" s="6">
        <v>0</v>
      </c>
      <c r="Q224" s="6">
        <v>0.048628435</v>
      </c>
      <c r="R224" s="6">
        <v>0.018402673</v>
      </c>
      <c r="S224" s="6">
        <v>0.049663019</v>
      </c>
      <c r="T224" s="6">
        <v>0.042514766</v>
      </c>
      <c r="U224" s="6">
        <v>0.301483172</v>
      </c>
      <c r="V224" s="6">
        <v>0</v>
      </c>
      <c r="W224" s="6">
        <v>0</v>
      </c>
      <c r="X224" s="6">
        <v>0.042503523</v>
      </c>
      <c r="Y224" s="6">
        <v>0</v>
      </c>
      <c r="Z224" s="6">
        <v>0</v>
      </c>
      <c r="AA224" s="6">
        <v>0</v>
      </c>
    </row>
    <row r="225" ht="15" hidden="1" spans="1:27">
      <c r="A225" s="6" t="s">
        <v>256</v>
      </c>
      <c r="B225" s="7" t="s">
        <v>344</v>
      </c>
      <c r="C225" s="7" t="s">
        <v>344</v>
      </c>
      <c r="D225" s="7" t="s">
        <v>18</v>
      </c>
      <c r="E225" s="7" t="s">
        <v>373</v>
      </c>
      <c r="F225" s="6">
        <v>0.030215442</v>
      </c>
      <c r="G225" s="6">
        <v>0</v>
      </c>
      <c r="H225" s="6">
        <v>0.068508657</v>
      </c>
      <c r="I225" s="6">
        <v>0.47049118</v>
      </c>
      <c r="J225" s="6">
        <v>0</v>
      </c>
      <c r="K225" s="6">
        <v>0.03634908</v>
      </c>
      <c r="L225" s="6">
        <v>0.047902302</v>
      </c>
      <c r="M225" s="6">
        <v>0.046778056</v>
      </c>
      <c r="N225" s="6">
        <v>0.07736383</v>
      </c>
      <c r="O225" s="6">
        <v>0</v>
      </c>
      <c r="P225" s="6">
        <v>0</v>
      </c>
      <c r="Q225" s="6">
        <v>0.041307541</v>
      </c>
      <c r="R225" s="6">
        <v>0.017031839</v>
      </c>
      <c r="S225" s="6">
        <v>0.112475517</v>
      </c>
      <c r="T225" s="6">
        <v>0.012301148</v>
      </c>
      <c r="U225" s="6">
        <v>0.037863793</v>
      </c>
      <c r="V225" s="6">
        <v>0</v>
      </c>
      <c r="W225" s="6">
        <v>0</v>
      </c>
      <c r="X225" s="6">
        <v>0</v>
      </c>
      <c r="Y225" s="6">
        <v>0</v>
      </c>
      <c r="Z225" s="6">
        <v>0.001411615</v>
      </c>
      <c r="AA225" s="6">
        <v>0</v>
      </c>
    </row>
    <row r="226" ht="15" hidden="1" spans="1:27">
      <c r="A226" s="6" t="s">
        <v>311</v>
      </c>
      <c r="B226" s="7" t="s">
        <v>344</v>
      </c>
      <c r="C226" s="7" t="s">
        <v>344</v>
      </c>
      <c r="D226" s="7" t="s">
        <v>18</v>
      </c>
      <c r="E226" s="7" t="s">
        <v>373</v>
      </c>
      <c r="F226" s="6">
        <v>0.186988242</v>
      </c>
      <c r="G226" s="6">
        <v>0</v>
      </c>
      <c r="H226" s="6">
        <v>0.036347775</v>
      </c>
      <c r="I226" s="6">
        <v>0.027244498</v>
      </c>
      <c r="J226" s="6">
        <v>0</v>
      </c>
      <c r="K226" s="6">
        <v>0.198468256</v>
      </c>
      <c r="L226" s="6">
        <v>0</v>
      </c>
      <c r="M226" s="6">
        <v>0.00470666</v>
      </c>
      <c r="N226" s="6">
        <v>0</v>
      </c>
      <c r="O226" s="6">
        <v>0</v>
      </c>
      <c r="P226" s="6">
        <v>0</v>
      </c>
      <c r="Q226" s="6">
        <v>0.049799048</v>
      </c>
      <c r="R226" s="6">
        <v>0.121224524</v>
      </c>
      <c r="S226" s="6">
        <v>0.015005252</v>
      </c>
      <c r="T226" s="6">
        <v>0.005340967</v>
      </c>
      <c r="U226" s="6">
        <v>0.191013279</v>
      </c>
      <c r="V226" s="6">
        <v>0</v>
      </c>
      <c r="W226" s="6">
        <v>0.003427417</v>
      </c>
      <c r="X226" s="6">
        <v>0.160434082</v>
      </c>
      <c r="Y226" s="6">
        <v>0</v>
      </c>
      <c r="Z226" s="6">
        <v>0</v>
      </c>
      <c r="AA226" s="6">
        <v>0</v>
      </c>
    </row>
    <row r="227" ht="15" hidden="1" spans="1:27">
      <c r="A227" s="6" t="s">
        <v>119</v>
      </c>
      <c r="B227" s="7" t="s">
        <v>29</v>
      </c>
      <c r="C227" s="7" t="s">
        <v>341</v>
      </c>
      <c r="D227" s="7" t="s">
        <v>18</v>
      </c>
      <c r="E227" s="7" t="s">
        <v>373</v>
      </c>
      <c r="F227" s="6">
        <v>0.123589875</v>
      </c>
      <c r="G227" s="6">
        <v>0</v>
      </c>
      <c r="H227" s="6">
        <v>0.010294998</v>
      </c>
      <c r="I227" s="6">
        <v>0.174922662</v>
      </c>
      <c r="J227" s="6">
        <v>0</v>
      </c>
      <c r="K227" s="6">
        <v>0.164917669</v>
      </c>
      <c r="L227" s="6">
        <v>0.012485461</v>
      </c>
      <c r="M227" s="6">
        <v>0.041555772</v>
      </c>
      <c r="N227" s="6">
        <v>0.031474694</v>
      </c>
      <c r="O227" s="6">
        <v>0</v>
      </c>
      <c r="P227" s="6">
        <v>0</v>
      </c>
      <c r="Q227" s="6">
        <v>0.016121115</v>
      </c>
      <c r="R227" s="6">
        <v>0.01107625</v>
      </c>
      <c r="S227" s="6">
        <v>0</v>
      </c>
      <c r="T227" s="6">
        <v>0.08424342</v>
      </c>
      <c r="U227" s="6">
        <v>0.30431874</v>
      </c>
      <c r="V227" s="6">
        <v>0</v>
      </c>
      <c r="W227" s="6">
        <v>0</v>
      </c>
      <c r="X227" s="6">
        <v>0.024999344</v>
      </c>
      <c r="Y227" s="6">
        <v>0</v>
      </c>
      <c r="Z227" s="6">
        <v>0</v>
      </c>
      <c r="AA227" s="6">
        <v>0</v>
      </c>
    </row>
    <row r="228" ht="15" hidden="1" spans="1:27">
      <c r="A228" s="6" t="s">
        <v>38</v>
      </c>
      <c r="B228" s="7" t="s">
        <v>341</v>
      </c>
      <c r="C228" s="7" t="s">
        <v>341</v>
      </c>
      <c r="D228" s="7" t="s">
        <v>18</v>
      </c>
      <c r="E228" s="7" t="s">
        <v>373</v>
      </c>
      <c r="F228" s="6">
        <v>0.227001611</v>
      </c>
      <c r="G228" s="6">
        <v>0</v>
      </c>
      <c r="H228" s="6">
        <v>0</v>
      </c>
      <c r="I228" s="6">
        <v>0.008675918</v>
      </c>
      <c r="J228" s="6">
        <v>0</v>
      </c>
      <c r="K228" s="6">
        <v>0.345584186</v>
      </c>
      <c r="L228" s="6">
        <v>0</v>
      </c>
      <c r="M228" s="6">
        <v>0.005039291</v>
      </c>
      <c r="N228" s="6">
        <v>0</v>
      </c>
      <c r="O228" s="6">
        <v>0</v>
      </c>
      <c r="P228" s="6">
        <v>0</v>
      </c>
      <c r="Q228" s="6">
        <v>0.08255956</v>
      </c>
      <c r="R228" s="6">
        <v>0.004924983</v>
      </c>
      <c r="S228" s="6">
        <v>0.244223321</v>
      </c>
      <c r="T228" s="6">
        <v>0</v>
      </c>
      <c r="U228" s="6">
        <v>0</v>
      </c>
      <c r="V228" s="6">
        <v>0</v>
      </c>
      <c r="W228" s="6">
        <v>0</v>
      </c>
      <c r="X228" s="6">
        <v>0.081991129</v>
      </c>
      <c r="Y228" s="6">
        <v>0</v>
      </c>
      <c r="Z228" s="6">
        <v>0</v>
      </c>
      <c r="AA228" s="6">
        <v>0</v>
      </c>
    </row>
    <row r="229" ht="15" hidden="1" spans="1:27">
      <c r="A229" s="6" t="s">
        <v>374</v>
      </c>
      <c r="B229" s="5" t="s">
        <v>344</v>
      </c>
      <c r="C229" s="5" t="s">
        <v>341</v>
      </c>
      <c r="D229" s="5" t="s">
        <v>18</v>
      </c>
      <c r="E229" s="7" t="s">
        <v>373</v>
      </c>
      <c r="F229" s="6">
        <v>0.147684465</v>
      </c>
      <c r="G229" s="6">
        <v>0</v>
      </c>
      <c r="H229" s="6">
        <v>0</v>
      </c>
      <c r="I229" s="6">
        <v>0.021992079</v>
      </c>
      <c r="J229" s="6">
        <v>0</v>
      </c>
      <c r="K229" s="6">
        <v>0.243160633</v>
      </c>
      <c r="L229" s="6">
        <v>0</v>
      </c>
      <c r="M229" s="6">
        <v>0</v>
      </c>
      <c r="N229" s="6">
        <v>0.026897478</v>
      </c>
      <c r="O229" s="6">
        <v>0</v>
      </c>
      <c r="P229" s="6">
        <v>0</v>
      </c>
      <c r="Q229" s="6">
        <v>0</v>
      </c>
      <c r="R229" s="6">
        <v>0.067827316</v>
      </c>
      <c r="S229" s="6">
        <v>0.012237864</v>
      </c>
      <c r="T229" s="6">
        <v>0.010254898</v>
      </c>
      <c r="U229" s="6">
        <v>0.344606681</v>
      </c>
      <c r="V229" s="6">
        <v>0</v>
      </c>
      <c r="W229" s="6">
        <v>0.001186716</v>
      </c>
      <c r="X229" s="6">
        <v>0.124151871</v>
      </c>
      <c r="Y229" s="6">
        <v>0</v>
      </c>
      <c r="Z229" s="6">
        <v>0</v>
      </c>
      <c r="AA229" s="6">
        <v>0</v>
      </c>
    </row>
    <row r="230" ht="15" hidden="1" spans="1:27">
      <c r="A230" s="6" t="s">
        <v>375</v>
      </c>
      <c r="B230" s="5" t="s">
        <v>344</v>
      </c>
      <c r="C230" s="5" t="s">
        <v>341</v>
      </c>
      <c r="D230" s="5" t="s">
        <v>18</v>
      </c>
      <c r="E230" s="7" t="s">
        <v>373</v>
      </c>
      <c r="F230" s="6">
        <v>0.063300718</v>
      </c>
      <c r="G230" s="6">
        <v>0</v>
      </c>
      <c r="H230" s="6">
        <v>0.041941841</v>
      </c>
      <c r="I230" s="6">
        <v>0.02184998</v>
      </c>
      <c r="J230" s="6">
        <v>0.016863081</v>
      </c>
      <c r="K230" s="6">
        <v>0.302566277</v>
      </c>
      <c r="L230" s="6">
        <v>0</v>
      </c>
      <c r="M230" s="6">
        <v>0</v>
      </c>
      <c r="N230" s="6">
        <v>0</v>
      </c>
      <c r="O230" s="6">
        <v>0</v>
      </c>
      <c r="P230" s="6">
        <v>0.07080069</v>
      </c>
      <c r="Q230" s="6">
        <v>0.0004</v>
      </c>
      <c r="R230" s="6">
        <v>0.072688476</v>
      </c>
      <c r="S230" s="6">
        <v>0</v>
      </c>
      <c r="T230" s="6">
        <v>0.005953611</v>
      </c>
      <c r="U230" s="6">
        <v>0.244704302</v>
      </c>
      <c r="V230" s="6">
        <v>0.005083657</v>
      </c>
      <c r="W230" s="6">
        <v>0.071807832</v>
      </c>
      <c r="X230" s="6">
        <v>0.079812843</v>
      </c>
      <c r="Y230" s="6">
        <v>0</v>
      </c>
      <c r="Z230" s="6">
        <v>0.002188652</v>
      </c>
      <c r="AA230" s="6">
        <v>0</v>
      </c>
    </row>
    <row r="231" ht="15" hidden="1" spans="1:27">
      <c r="A231" s="6" t="s">
        <v>178</v>
      </c>
      <c r="B231" s="7" t="s">
        <v>29</v>
      </c>
      <c r="C231" s="7" t="s">
        <v>341</v>
      </c>
      <c r="D231" s="7" t="s">
        <v>18</v>
      </c>
      <c r="E231" s="7" t="s">
        <v>373</v>
      </c>
      <c r="F231" s="6">
        <v>0.123392521</v>
      </c>
      <c r="G231" s="6">
        <v>0</v>
      </c>
      <c r="H231" s="6">
        <v>0.203805009</v>
      </c>
      <c r="I231" s="6">
        <v>0.049432536</v>
      </c>
      <c r="J231" s="6">
        <v>0</v>
      </c>
      <c r="K231" s="6">
        <v>0.174943533</v>
      </c>
      <c r="L231" s="6">
        <v>0</v>
      </c>
      <c r="M231" s="6">
        <v>0</v>
      </c>
      <c r="N231" s="6">
        <v>0</v>
      </c>
      <c r="O231" s="6">
        <v>0</v>
      </c>
      <c r="P231" s="6">
        <v>0.008883013</v>
      </c>
      <c r="Q231" s="6">
        <v>0.045397787</v>
      </c>
      <c r="R231" s="6">
        <v>0.030606562</v>
      </c>
      <c r="S231" s="6">
        <v>0</v>
      </c>
      <c r="T231" s="6">
        <v>0.003569208</v>
      </c>
      <c r="U231" s="6">
        <v>0.261115444</v>
      </c>
      <c r="V231" s="6">
        <v>0</v>
      </c>
      <c r="W231" s="6">
        <v>0.006110767</v>
      </c>
      <c r="X231" s="6">
        <v>0.09274362</v>
      </c>
      <c r="Y231" s="6">
        <v>0</v>
      </c>
      <c r="Z231" s="6">
        <v>0</v>
      </c>
      <c r="AA231" s="6">
        <v>0</v>
      </c>
    </row>
    <row r="232" ht="15" hidden="1" spans="1:27">
      <c r="A232" s="6" t="s">
        <v>160</v>
      </c>
      <c r="B232" s="7" t="s">
        <v>344</v>
      </c>
      <c r="C232" s="7" t="s">
        <v>344</v>
      </c>
      <c r="D232" s="7" t="s">
        <v>18</v>
      </c>
      <c r="E232" s="7" t="s">
        <v>373</v>
      </c>
      <c r="F232" s="6">
        <v>0.072113043</v>
      </c>
      <c r="G232" s="6">
        <v>0</v>
      </c>
      <c r="H232" s="6">
        <v>0.057183073</v>
      </c>
      <c r="I232" s="6">
        <v>0.039541694</v>
      </c>
      <c r="J232" s="6">
        <v>0</v>
      </c>
      <c r="K232" s="6">
        <v>0.191514822</v>
      </c>
      <c r="L232" s="6">
        <v>0</v>
      </c>
      <c r="M232" s="6">
        <v>0</v>
      </c>
      <c r="N232" s="6">
        <v>0</v>
      </c>
      <c r="O232" s="6">
        <v>0</v>
      </c>
      <c r="P232" s="6">
        <v>0</v>
      </c>
      <c r="Q232" s="6">
        <v>0.034258271</v>
      </c>
      <c r="R232" s="6">
        <v>0.022251508</v>
      </c>
      <c r="S232" s="6">
        <v>0</v>
      </c>
      <c r="T232" s="6">
        <v>0</v>
      </c>
      <c r="U232" s="6">
        <v>0.219259453</v>
      </c>
      <c r="V232" s="6">
        <v>0</v>
      </c>
      <c r="W232" s="6">
        <v>0.016638768</v>
      </c>
      <c r="X232" s="6">
        <v>0.347239368</v>
      </c>
      <c r="Y232" s="6">
        <v>0</v>
      </c>
      <c r="Z232" s="6">
        <v>0</v>
      </c>
      <c r="AA232" s="6">
        <v>0</v>
      </c>
    </row>
    <row r="233" ht="15" hidden="1" spans="1:27">
      <c r="A233" s="6" t="s">
        <v>376</v>
      </c>
      <c r="B233" s="5" t="s">
        <v>344</v>
      </c>
      <c r="C233" s="5" t="s">
        <v>344</v>
      </c>
      <c r="D233" s="5" t="s">
        <v>18</v>
      </c>
      <c r="E233" s="7" t="s">
        <v>373</v>
      </c>
      <c r="F233" s="6">
        <v>0.083075904</v>
      </c>
      <c r="G233" s="6">
        <v>0</v>
      </c>
      <c r="H233" s="6">
        <v>0.07861332</v>
      </c>
      <c r="I233" s="6">
        <v>0.03995813</v>
      </c>
      <c r="J233" s="6">
        <v>0</v>
      </c>
      <c r="K233" s="6">
        <v>0.213374418</v>
      </c>
      <c r="L233" s="6">
        <v>0</v>
      </c>
      <c r="M233" s="6">
        <v>0</v>
      </c>
      <c r="N233" s="6">
        <v>0</v>
      </c>
      <c r="O233" s="6">
        <v>0</v>
      </c>
      <c r="P233" s="6">
        <v>0</v>
      </c>
      <c r="Q233" s="6">
        <v>0.021518475</v>
      </c>
      <c r="R233" s="6">
        <v>0.024204275</v>
      </c>
      <c r="S233" s="6">
        <v>0</v>
      </c>
      <c r="T233" s="6">
        <v>0.005284556</v>
      </c>
      <c r="U233" s="6">
        <v>0.218702958</v>
      </c>
      <c r="V233" s="6">
        <v>0</v>
      </c>
      <c r="W233" s="6">
        <v>0.005165492</v>
      </c>
      <c r="X233" s="6">
        <v>0.310102471</v>
      </c>
      <c r="Y233" s="6">
        <v>0</v>
      </c>
      <c r="Z233" s="6">
        <v>0</v>
      </c>
      <c r="AA233" s="6">
        <v>0</v>
      </c>
    </row>
    <row r="234" ht="15" hidden="1" spans="1:27">
      <c r="A234" s="6" t="s">
        <v>120</v>
      </c>
      <c r="B234" s="7" t="s">
        <v>344</v>
      </c>
      <c r="C234" s="7" t="s">
        <v>29</v>
      </c>
      <c r="D234" s="7" t="s">
        <v>18</v>
      </c>
      <c r="E234" s="7" t="s">
        <v>373</v>
      </c>
      <c r="F234" s="6">
        <v>0.135665707</v>
      </c>
      <c r="G234" s="6">
        <v>0.090538834</v>
      </c>
      <c r="H234" s="6">
        <v>0.022996095</v>
      </c>
      <c r="I234" s="6">
        <v>0.208102142</v>
      </c>
      <c r="J234" s="6">
        <v>0</v>
      </c>
      <c r="K234" s="6">
        <v>0.127864177</v>
      </c>
      <c r="L234" s="6">
        <v>0</v>
      </c>
      <c r="M234" s="6">
        <v>0.036701008</v>
      </c>
      <c r="N234" s="6">
        <v>0.043234699</v>
      </c>
      <c r="O234" s="6">
        <v>0</v>
      </c>
      <c r="P234" s="6">
        <v>0.032972825</v>
      </c>
      <c r="Q234" s="6">
        <v>0</v>
      </c>
      <c r="R234" s="6">
        <v>0.064768892</v>
      </c>
      <c r="S234" s="6">
        <v>0.033731406</v>
      </c>
      <c r="T234" s="6">
        <v>0.066454596</v>
      </c>
      <c r="U234" s="6">
        <v>0.121429882</v>
      </c>
      <c r="V234" s="6">
        <v>0</v>
      </c>
      <c r="W234" s="6">
        <v>0</v>
      </c>
      <c r="X234" s="6">
        <v>0.015539737</v>
      </c>
      <c r="Y234" s="6">
        <v>0</v>
      </c>
      <c r="Z234" s="6">
        <v>0</v>
      </c>
      <c r="AA234" s="6">
        <v>0</v>
      </c>
    </row>
    <row r="235" ht="15" spans="1:27">
      <c r="A235" s="6" t="s">
        <v>272</v>
      </c>
      <c r="B235" s="7" t="s">
        <v>29</v>
      </c>
      <c r="C235" s="7" t="s">
        <v>29</v>
      </c>
      <c r="D235" s="7" t="s">
        <v>18</v>
      </c>
      <c r="E235" s="7" t="s">
        <v>373</v>
      </c>
      <c r="F235" s="6">
        <v>0.164340151</v>
      </c>
      <c r="G235" s="6">
        <v>0</v>
      </c>
      <c r="H235" s="6">
        <v>0.042102887</v>
      </c>
      <c r="I235" s="6">
        <v>0.034460593</v>
      </c>
      <c r="J235" s="6">
        <v>0</v>
      </c>
      <c r="K235" s="6">
        <v>0.248260409</v>
      </c>
      <c r="L235" s="6">
        <v>0</v>
      </c>
      <c r="M235" s="6">
        <v>0.024849414</v>
      </c>
      <c r="N235" s="6">
        <v>0.014626987</v>
      </c>
      <c r="O235" s="6">
        <v>0</v>
      </c>
      <c r="P235" s="6">
        <v>0</v>
      </c>
      <c r="Q235" s="6">
        <v>0.040662055</v>
      </c>
      <c r="R235" s="6">
        <v>0.044696271</v>
      </c>
      <c r="S235" s="6">
        <v>0.029527302</v>
      </c>
      <c r="T235" s="6">
        <v>0.059928035</v>
      </c>
      <c r="U235" s="6">
        <v>0.166882067</v>
      </c>
      <c r="V235" s="6">
        <v>0</v>
      </c>
      <c r="W235" s="6">
        <v>0</v>
      </c>
      <c r="X235" s="6">
        <v>0.129663827</v>
      </c>
      <c r="Y235" s="6">
        <v>0</v>
      </c>
      <c r="Z235" s="6">
        <v>0</v>
      </c>
      <c r="AA235" s="6">
        <v>0</v>
      </c>
    </row>
    <row r="236" ht="15" hidden="1" spans="1:27">
      <c r="A236" s="6" t="s">
        <v>41</v>
      </c>
      <c r="B236" s="7" t="s">
        <v>344</v>
      </c>
      <c r="C236" s="7" t="s">
        <v>29</v>
      </c>
      <c r="D236" s="7" t="s">
        <v>18</v>
      </c>
      <c r="E236" s="7" t="s">
        <v>373</v>
      </c>
      <c r="F236" s="6">
        <v>0.055897859</v>
      </c>
      <c r="G236" s="6">
        <v>0</v>
      </c>
      <c r="H236" s="6">
        <v>0</v>
      </c>
      <c r="I236" s="6">
        <v>0.168162032</v>
      </c>
      <c r="J236" s="6">
        <v>0</v>
      </c>
      <c r="K236" s="6">
        <v>0.16114177</v>
      </c>
      <c r="L236" s="6">
        <v>0</v>
      </c>
      <c r="M236" s="6">
        <v>0.037680562</v>
      </c>
      <c r="N236" s="6">
        <v>0</v>
      </c>
      <c r="O236" s="6">
        <v>0</v>
      </c>
      <c r="P236" s="6">
        <v>0</v>
      </c>
      <c r="Q236" s="6">
        <v>0.022850241</v>
      </c>
      <c r="R236" s="6">
        <v>0.039477712</v>
      </c>
      <c r="S236" s="6">
        <v>0.078585039</v>
      </c>
      <c r="T236" s="6">
        <v>0.014701712</v>
      </c>
      <c r="U236" s="6">
        <v>0.22381301</v>
      </c>
      <c r="V236" s="6">
        <v>0</v>
      </c>
      <c r="W236" s="6">
        <v>0.0002</v>
      </c>
      <c r="X236" s="6">
        <v>0.18524267</v>
      </c>
      <c r="Y236" s="6">
        <v>0</v>
      </c>
      <c r="Z236" s="6">
        <v>0.012284889</v>
      </c>
      <c r="AA236" s="6">
        <v>0</v>
      </c>
    </row>
    <row r="237" ht="15" hidden="1" spans="1:27">
      <c r="A237" s="6" t="s">
        <v>327</v>
      </c>
      <c r="B237" s="7" t="s">
        <v>29</v>
      </c>
      <c r="C237" s="7" t="s">
        <v>341</v>
      </c>
      <c r="D237" s="7" t="s">
        <v>18</v>
      </c>
      <c r="E237" s="7" t="s">
        <v>373</v>
      </c>
      <c r="F237" s="6">
        <v>0.087294637</v>
      </c>
      <c r="G237" s="6">
        <v>0</v>
      </c>
      <c r="H237" s="6">
        <v>0.064501525</v>
      </c>
      <c r="I237" s="6">
        <v>0.013098714</v>
      </c>
      <c r="J237" s="6">
        <v>0</v>
      </c>
      <c r="K237" s="6">
        <v>0.287026567</v>
      </c>
      <c r="L237" s="6">
        <v>0</v>
      </c>
      <c r="M237" s="6">
        <v>0</v>
      </c>
      <c r="N237" s="6">
        <v>0</v>
      </c>
      <c r="O237" s="6">
        <v>0</v>
      </c>
      <c r="P237" s="6">
        <v>0.016555041</v>
      </c>
      <c r="Q237" s="6">
        <v>0.022102635</v>
      </c>
      <c r="R237" s="6">
        <v>0.02100448</v>
      </c>
      <c r="S237" s="6">
        <v>0.149475579</v>
      </c>
      <c r="T237" s="6">
        <v>0.051356296</v>
      </c>
      <c r="U237" s="6">
        <v>0.248884489</v>
      </c>
      <c r="V237" s="6">
        <v>0</v>
      </c>
      <c r="W237" s="6">
        <v>0</v>
      </c>
      <c r="X237" s="6">
        <v>0.038700035</v>
      </c>
      <c r="Y237" s="6">
        <v>0</v>
      </c>
      <c r="Z237" s="6">
        <v>0</v>
      </c>
      <c r="AA237" s="6">
        <v>0</v>
      </c>
    </row>
    <row r="238" ht="15" hidden="1" spans="1:27">
      <c r="A238" s="6" t="s">
        <v>189</v>
      </c>
      <c r="B238" s="7" t="s">
        <v>29</v>
      </c>
      <c r="C238" s="7" t="s">
        <v>341</v>
      </c>
      <c r="D238" s="7" t="s">
        <v>18</v>
      </c>
      <c r="E238" s="7" t="s">
        <v>373</v>
      </c>
      <c r="F238" s="6">
        <v>0.037911926</v>
      </c>
      <c r="G238" s="6">
        <v>0</v>
      </c>
      <c r="H238" s="6">
        <v>0.030717622</v>
      </c>
      <c r="I238" s="6">
        <v>0.012784038</v>
      </c>
      <c r="J238" s="6">
        <v>0</v>
      </c>
      <c r="K238" s="6">
        <v>0.173296396</v>
      </c>
      <c r="L238" s="6">
        <v>0</v>
      </c>
      <c r="M238" s="6">
        <v>0.0006</v>
      </c>
      <c r="N238" s="6">
        <v>0</v>
      </c>
      <c r="O238" s="6">
        <v>0</v>
      </c>
      <c r="P238" s="6">
        <v>0</v>
      </c>
      <c r="Q238" s="6">
        <v>0.040559765</v>
      </c>
      <c r="R238" s="6">
        <v>0.136229102</v>
      </c>
      <c r="S238" s="6">
        <v>0</v>
      </c>
      <c r="T238" s="6">
        <v>0.020044463</v>
      </c>
      <c r="U238" s="6">
        <v>0.320071708</v>
      </c>
      <c r="V238" s="6">
        <v>0</v>
      </c>
      <c r="W238" s="6">
        <v>0.030922223</v>
      </c>
      <c r="X238" s="6">
        <v>0.19688251</v>
      </c>
      <c r="Y238" s="6">
        <v>0</v>
      </c>
      <c r="Z238" s="6">
        <v>0</v>
      </c>
      <c r="AA238" s="6">
        <v>0</v>
      </c>
    </row>
    <row r="239" ht="15" hidden="1" spans="1:27">
      <c r="A239" s="6" t="s">
        <v>309</v>
      </c>
      <c r="B239" s="7" t="s">
        <v>29</v>
      </c>
      <c r="C239" s="7" t="s">
        <v>341</v>
      </c>
      <c r="D239" s="7" t="s">
        <v>55</v>
      </c>
      <c r="E239" s="7" t="s">
        <v>373</v>
      </c>
      <c r="F239" s="6">
        <v>0.082538824</v>
      </c>
      <c r="G239" s="6">
        <v>0</v>
      </c>
      <c r="H239" s="6">
        <v>0</v>
      </c>
      <c r="I239" s="6">
        <v>0.083771834</v>
      </c>
      <c r="J239" s="6">
        <v>0</v>
      </c>
      <c r="K239" s="6">
        <v>0.052347767</v>
      </c>
      <c r="L239" s="6">
        <v>0</v>
      </c>
      <c r="M239" s="6">
        <v>0.005102781</v>
      </c>
      <c r="N239" s="6">
        <v>0.057235881</v>
      </c>
      <c r="O239" s="6">
        <v>0</v>
      </c>
      <c r="P239" s="6">
        <v>0</v>
      </c>
      <c r="Q239" s="6">
        <v>0.033165676</v>
      </c>
      <c r="R239" s="6">
        <v>0</v>
      </c>
      <c r="S239" s="6">
        <v>0.098507124</v>
      </c>
      <c r="T239" s="6">
        <v>0.073304303</v>
      </c>
      <c r="U239" s="6">
        <v>0.214282261</v>
      </c>
      <c r="V239" s="6">
        <v>0</v>
      </c>
      <c r="W239" s="6">
        <v>0</v>
      </c>
      <c r="X239" s="6">
        <v>0.29974355</v>
      </c>
      <c r="Y239" s="6">
        <v>0</v>
      </c>
      <c r="Z239" s="6">
        <v>0</v>
      </c>
      <c r="AA239" s="6">
        <v>0</v>
      </c>
    </row>
    <row r="240" ht="15" spans="1:27">
      <c r="A240" s="6" t="s">
        <v>186</v>
      </c>
      <c r="B240" s="7" t="s">
        <v>29</v>
      </c>
      <c r="C240" s="7" t="s">
        <v>29</v>
      </c>
      <c r="D240" s="7" t="s">
        <v>24</v>
      </c>
      <c r="E240" s="7" t="s">
        <v>373</v>
      </c>
      <c r="F240" s="6">
        <v>0.03507357</v>
      </c>
      <c r="G240" s="6">
        <v>0</v>
      </c>
      <c r="H240" s="6">
        <v>0</v>
      </c>
      <c r="I240" s="6">
        <v>0</v>
      </c>
      <c r="J240" s="6">
        <v>0</v>
      </c>
      <c r="K240" s="6">
        <v>0.219664233</v>
      </c>
      <c r="L240" s="6">
        <v>0</v>
      </c>
      <c r="M240" s="6">
        <v>0</v>
      </c>
      <c r="N240" s="6">
        <v>0</v>
      </c>
      <c r="O240" s="6">
        <v>0</v>
      </c>
      <c r="P240" s="6">
        <v>0</v>
      </c>
      <c r="Q240" s="6">
        <v>0.133907729</v>
      </c>
      <c r="R240" s="6">
        <v>0.053543406</v>
      </c>
      <c r="S240" s="6">
        <v>0.102449853</v>
      </c>
      <c r="T240" s="6">
        <v>0</v>
      </c>
      <c r="U240" s="6">
        <v>0.309780643</v>
      </c>
      <c r="V240" s="6">
        <v>0</v>
      </c>
      <c r="W240" s="6">
        <v>0.021905146</v>
      </c>
      <c r="X240" s="6">
        <v>0</v>
      </c>
      <c r="Y240" s="6">
        <v>0.120179379</v>
      </c>
      <c r="Z240" s="6">
        <v>0</v>
      </c>
      <c r="AA240" s="6">
        <v>0.003496041</v>
      </c>
    </row>
    <row r="241" ht="15" spans="1:27">
      <c r="A241" s="6" t="s">
        <v>158</v>
      </c>
      <c r="B241" s="7" t="s">
        <v>29</v>
      </c>
      <c r="C241" s="7" t="s">
        <v>29</v>
      </c>
      <c r="D241" s="7" t="s">
        <v>159</v>
      </c>
      <c r="E241" s="7" t="s">
        <v>373</v>
      </c>
      <c r="F241" s="6">
        <v>0</v>
      </c>
      <c r="G241" s="6">
        <v>0.029012977</v>
      </c>
      <c r="H241" s="6">
        <v>0.088654745</v>
      </c>
      <c r="I241" s="6">
        <v>0.061007527</v>
      </c>
      <c r="J241" s="6">
        <v>0</v>
      </c>
      <c r="K241" s="6">
        <v>0.180266427</v>
      </c>
      <c r="L241" s="6">
        <v>0</v>
      </c>
      <c r="M241" s="6">
        <v>0</v>
      </c>
      <c r="N241" s="6">
        <v>0</v>
      </c>
      <c r="O241" s="6">
        <v>0</v>
      </c>
      <c r="P241" s="6">
        <v>0</v>
      </c>
      <c r="Q241" s="6">
        <v>0.067347465</v>
      </c>
      <c r="R241" s="6">
        <v>0.086502811</v>
      </c>
      <c r="S241" s="6">
        <v>0.0443358</v>
      </c>
      <c r="T241" s="6">
        <v>0</v>
      </c>
      <c r="U241" s="6">
        <v>0.253082629</v>
      </c>
      <c r="V241" s="6">
        <v>0.002413022</v>
      </c>
      <c r="W241" s="6">
        <v>0.007386156</v>
      </c>
      <c r="X241" s="6">
        <v>0.147350924</v>
      </c>
      <c r="Y241" s="6">
        <v>0</v>
      </c>
      <c r="Z241" s="6">
        <v>0.032639516</v>
      </c>
      <c r="AA241" s="6">
        <v>0</v>
      </c>
    </row>
    <row r="242" ht="15" spans="1:27">
      <c r="A242" s="6" t="s">
        <v>265</v>
      </c>
      <c r="B242" s="7" t="s">
        <v>29</v>
      </c>
      <c r="C242" s="7" t="s">
        <v>29</v>
      </c>
      <c r="D242" s="7" t="s">
        <v>18</v>
      </c>
      <c r="E242" s="7" t="s">
        <v>373</v>
      </c>
      <c r="F242" s="6">
        <v>0.116310065</v>
      </c>
      <c r="G242" s="6">
        <v>0</v>
      </c>
      <c r="H242" s="6">
        <v>0.017869634</v>
      </c>
      <c r="I242" s="6">
        <v>0.13928944</v>
      </c>
      <c r="J242" s="6">
        <v>0</v>
      </c>
      <c r="K242" s="6">
        <v>0.257655591</v>
      </c>
      <c r="L242" s="6">
        <v>0</v>
      </c>
      <c r="M242" s="6">
        <v>0</v>
      </c>
      <c r="N242" s="6">
        <v>0</v>
      </c>
      <c r="O242" s="6">
        <v>0</v>
      </c>
      <c r="P242" s="6">
        <v>0.001984809</v>
      </c>
      <c r="Q242" s="6">
        <v>0.031031505</v>
      </c>
      <c r="R242" s="6">
        <v>0.044654215</v>
      </c>
      <c r="S242" s="6">
        <v>0</v>
      </c>
      <c r="T242" s="6">
        <v>0.045657138</v>
      </c>
      <c r="U242" s="6">
        <v>0.141278281</v>
      </c>
      <c r="V242" s="6">
        <v>0</v>
      </c>
      <c r="W242" s="6">
        <v>0</v>
      </c>
      <c r="X242" s="6">
        <v>0.204269322</v>
      </c>
      <c r="Y242" s="6">
        <v>0</v>
      </c>
      <c r="Z242" s="6">
        <v>0</v>
      </c>
      <c r="AA242" s="6">
        <v>0</v>
      </c>
    </row>
    <row r="243" ht="15" hidden="1" spans="1:27">
      <c r="A243" s="6" t="s">
        <v>231</v>
      </c>
      <c r="B243" s="7" t="s">
        <v>341</v>
      </c>
      <c r="C243" s="7" t="s">
        <v>29</v>
      </c>
      <c r="D243" s="7" t="s">
        <v>18</v>
      </c>
      <c r="E243" s="7" t="s">
        <v>373</v>
      </c>
      <c r="F243" s="6">
        <v>0.055216063</v>
      </c>
      <c r="G243" s="6">
        <v>0</v>
      </c>
      <c r="H243" s="6">
        <v>0.015093587</v>
      </c>
      <c r="I243" s="6">
        <v>0.021698236</v>
      </c>
      <c r="J243" s="6">
        <v>0</v>
      </c>
      <c r="K243" s="6">
        <v>0.35765925</v>
      </c>
      <c r="L243" s="6">
        <v>0</v>
      </c>
      <c r="M243" s="6">
        <v>0</v>
      </c>
      <c r="N243" s="6">
        <v>0</v>
      </c>
      <c r="O243" s="6">
        <v>0</v>
      </c>
      <c r="P243" s="6">
        <v>0.023788595</v>
      </c>
      <c r="Q243" s="6">
        <v>0.004943895</v>
      </c>
      <c r="R243" s="6">
        <v>0.075596605</v>
      </c>
      <c r="S243" s="6">
        <v>0</v>
      </c>
      <c r="T243" s="6">
        <v>0.083984744</v>
      </c>
      <c r="U243" s="6">
        <v>0.173341453</v>
      </c>
      <c r="V243" s="6">
        <v>0</v>
      </c>
      <c r="W243" s="6">
        <v>0</v>
      </c>
      <c r="X243" s="6">
        <v>0.188677573</v>
      </c>
      <c r="Y243" s="6">
        <v>0</v>
      </c>
      <c r="Z243" s="6">
        <v>0</v>
      </c>
      <c r="AA243" s="6">
        <v>0</v>
      </c>
    </row>
    <row r="244" ht="15" hidden="1" spans="1:27">
      <c r="A244" s="6" t="s">
        <v>246</v>
      </c>
      <c r="B244" s="7" t="s">
        <v>341</v>
      </c>
      <c r="C244" s="7" t="s">
        <v>29</v>
      </c>
      <c r="D244" s="7" t="s">
        <v>18</v>
      </c>
      <c r="E244" s="7" t="s">
        <v>373</v>
      </c>
      <c r="F244" s="6">
        <v>0.158952832</v>
      </c>
      <c r="G244" s="6">
        <v>0</v>
      </c>
      <c r="H244" s="6">
        <v>0.072547289</v>
      </c>
      <c r="I244" s="6">
        <v>0.057781318</v>
      </c>
      <c r="J244" s="6">
        <v>0</v>
      </c>
      <c r="K244" s="6">
        <v>0.291218617</v>
      </c>
      <c r="L244" s="6">
        <v>0</v>
      </c>
      <c r="M244" s="6">
        <v>0</v>
      </c>
      <c r="N244" s="6">
        <v>0</v>
      </c>
      <c r="O244" s="6">
        <v>0</v>
      </c>
      <c r="P244" s="6">
        <v>0.002455658</v>
      </c>
      <c r="Q244" s="6">
        <v>0.011885022</v>
      </c>
      <c r="R244" s="6">
        <v>0.009385363</v>
      </c>
      <c r="S244" s="6">
        <v>0.050507172</v>
      </c>
      <c r="T244" s="6">
        <v>0.0005</v>
      </c>
      <c r="U244" s="6">
        <v>0.22429545</v>
      </c>
      <c r="V244" s="6">
        <v>0</v>
      </c>
      <c r="W244" s="6">
        <v>0.037582509</v>
      </c>
      <c r="X244" s="6">
        <v>0.082860543</v>
      </c>
      <c r="Y244" s="6">
        <v>0</v>
      </c>
      <c r="Z244" s="6">
        <v>0</v>
      </c>
      <c r="AA244" s="6">
        <v>0</v>
      </c>
    </row>
    <row r="245" ht="15" hidden="1" spans="1:27">
      <c r="A245" s="6" t="s">
        <v>64</v>
      </c>
      <c r="B245" s="7" t="s">
        <v>341</v>
      </c>
      <c r="C245" s="7" t="s">
        <v>341</v>
      </c>
      <c r="D245" s="7" t="s">
        <v>31</v>
      </c>
      <c r="E245" s="7" t="s">
        <v>373</v>
      </c>
      <c r="F245" s="6">
        <v>0.126133423</v>
      </c>
      <c r="G245" s="6">
        <v>0</v>
      </c>
      <c r="H245" s="6">
        <v>0.116354775</v>
      </c>
      <c r="I245" s="6">
        <v>0.097776536</v>
      </c>
      <c r="J245" s="6">
        <v>0</v>
      </c>
      <c r="K245" s="6">
        <v>0.309184971</v>
      </c>
      <c r="L245" s="6">
        <v>0.044435686</v>
      </c>
      <c r="M245" s="6">
        <v>0</v>
      </c>
      <c r="N245" s="6">
        <v>0.0001</v>
      </c>
      <c r="O245" s="6">
        <v>0</v>
      </c>
      <c r="P245" s="6">
        <v>0.047780917</v>
      </c>
      <c r="Q245" s="6">
        <v>0</v>
      </c>
      <c r="R245" s="6">
        <v>0.051182644</v>
      </c>
      <c r="S245" s="6">
        <v>0.00338675</v>
      </c>
      <c r="T245" s="6">
        <v>0.051395597</v>
      </c>
      <c r="U245" s="6">
        <v>0.117780488</v>
      </c>
      <c r="V245" s="6">
        <v>0.002878935</v>
      </c>
      <c r="W245" s="6">
        <v>0</v>
      </c>
      <c r="X245" s="6">
        <v>0.031575097</v>
      </c>
      <c r="Y245" s="6">
        <v>0</v>
      </c>
      <c r="Z245" s="6">
        <v>0</v>
      </c>
      <c r="AA245" s="6">
        <v>0</v>
      </c>
    </row>
    <row r="246" ht="15" hidden="1" spans="1:27">
      <c r="A246" s="6" t="s">
        <v>314</v>
      </c>
      <c r="B246" s="7" t="s">
        <v>29</v>
      </c>
      <c r="C246" s="7" t="s">
        <v>341</v>
      </c>
      <c r="D246" s="7" t="s">
        <v>18</v>
      </c>
      <c r="E246" s="7" t="s">
        <v>373</v>
      </c>
      <c r="F246" s="6">
        <v>0</v>
      </c>
      <c r="G246" s="6">
        <v>0</v>
      </c>
      <c r="H246" s="6">
        <v>0.0002</v>
      </c>
      <c r="I246" s="6">
        <v>0.023390688</v>
      </c>
      <c r="J246" s="6">
        <v>0</v>
      </c>
      <c r="K246" s="6">
        <v>0.288667483</v>
      </c>
      <c r="L246" s="6">
        <v>0</v>
      </c>
      <c r="M246" s="6">
        <v>0.034447395</v>
      </c>
      <c r="N246" s="6">
        <v>0</v>
      </c>
      <c r="O246" s="6">
        <v>0</v>
      </c>
      <c r="P246" s="6">
        <v>0</v>
      </c>
      <c r="Q246" s="6">
        <v>0.047276492</v>
      </c>
      <c r="R246" s="6">
        <v>0.006029842</v>
      </c>
      <c r="S246" s="6">
        <v>0.156246307</v>
      </c>
      <c r="T246" s="6">
        <v>0.023195246</v>
      </c>
      <c r="U246" s="6">
        <v>0.328311317</v>
      </c>
      <c r="V246" s="6">
        <v>0</v>
      </c>
      <c r="W246" s="6">
        <v>0</v>
      </c>
      <c r="X246" s="6">
        <v>0.092217447</v>
      </c>
      <c r="Y246" s="6">
        <v>0</v>
      </c>
      <c r="Z246" s="6">
        <v>0</v>
      </c>
      <c r="AA246" s="6">
        <v>0</v>
      </c>
    </row>
    <row r="247" ht="15" hidden="1" spans="1:27">
      <c r="A247" s="6" t="s">
        <v>308</v>
      </c>
      <c r="B247" s="7" t="s">
        <v>29</v>
      </c>
      <c r="C247" s="7" t="s">
        <v>341</v>
      </c>
      <c r="D247" s="7" t="s">
        <v>157</v>
      </c>
      <c r="E247" s="7" t="s">
        <v>373</v>
      </c>
      <c r="F247" s="6">
        <v>0.163520776</v>
      </c>
      <c r="G247" s="6">
        <v>0</v>
      </c>
      <c r="H247" s="6">
        <v>0.096988262</v>
      </c>
      <c r="I247" s="6">
        <v>0</v>
      </c>
      <c r="J247" s="6">
        <v>0</v>
      </c>
      <c r="K247" s="6">
        <v>0.10879012</v>
      </c>
      <c r="L247" s="6">
        <v>0</v>
      </c>
      <c r="M247" s="6">
        <v>0</v>
      </c>
      <c r="N247" s="6">
        <v>0.035257708</v>
      </c>
      <c r="O247" s="6">
        <v>0</v>
      </c>
      <c r="P247" s="6">
        <v>0.006163685</v>
      </c>
      <c r="Q247" s="6">
        <v>0.035734764</v>
      </c>
      <c r="R247" s="6">
        <v>0.014833597</v>
      </c>
      <c r="S247" s="6">
        <v>0.009004938</v>
      </c>
      <c r="T247" s="6">
        <v>0.039386706</v>
      </c>
      <c r="U247" s="6">
        <v>0.219350326</v>
      </c>
      <c r="V247" s="6">
        <v>0</v>
      </c>
      <c r="W247" s="6">
        <v>0</v>
      </c>
      <c r="X247" s="6">
        <v>0.270969119</v>
      </c>
      <c r="Y247" s="6">
        <v>0</v>
      </c>
      <c r="Z247" s="6">
        <v>0</v>
      </c>
      <c r="AA247" s="6">
        <v>0</v>
      </c>
    </row>
    <row r="248" ht="15" hidden="1" spans="1:27">
      <c r="A248" s="6" t="s">
        <v>168</v>
      </c>
      <c r="B248" s="7" t="s">
        <v>29</v>
      </c>
      <c r="C248" s="7" t="s">
        <v>341</v>
      </c>
      <c r="D248" s="7" t="s">
        <v>18</v>
      </c>
      <c r="E248" s="7" t="s">
        <v>373</v>
      </c>
      <c r="F248" s="6">
        <v>0.064903323</v>
      </c>
      <c r="G248" s="6">
        <v>0</v>
      </c>
      <c r="H248" s="6">
        <v>0.0596054</v>
      </c>
      <c r="I248" s="6">
        <v>0.249386989</v>
      </c>
      <c r="J248" s="6">
        <v>0</v>
      </c>
      <c r="K248" s="6">
        <v>0.078534258</v>
      </c>
      <c r="L248" s="6">
        <v>0.01544836</v>
      </c>
      <c r="M248" s="6">
        <v>0.063769505</v>
      </c>
      <c r="N248" s="6">
        <v>0.025422277</v>
      </c>
      <c r="O248" s="6">
        <v>0</v>
      </c>
      <c r="P248" s="6">
        <v>0</v>
      </c>
      <c r="Q248" s="6">
        <v>0.041408152</v>
      </c>
      <c r="R248" s="6">
        <v>0.055496031</v>
      </c>
      <c r="S248" s="6">
        <v>0.210059117</v>
      </c>
      <c r="T248" s="6">
        <v>0.053011554</v>
      </c>
      <c r="U248" s="6">
        <v>0.057413837</v>
      </c>
      <c r="V248" s="6">
        <v>0</v>
      </c>
      <c r="W248" s="6">
        <v>0</v>
      </c>
      <c r="X248" s="6">
        <v>0.025541197</v>
      </c>
      <c r="Y248" s="6">
        <v>0</v>
      </c>
      <c r="Z248" s="6">
        <v>0</v>
      </c>
      <c r="AA248" s="6">
        <v>0</v>
      </c>
    </row>
    <row r="249" ht="15" hidden="1" spans="1:27">
      <c r="A249" s="6" t="s">
        <v>318</v>
      </c>
      <c r="B249" s="7" t="s">
        <v>29</v>
      </c>
      <c r="C249" s="7" t="s">
        <v>341</v>
      </c>
      <c r="D249" s="7" t="s">
        <v>55</v>
      </c>
      <c r="E249" s="7" t="s">
        <v>373</v>
      </c>
      <c r="F249" s="6">
        <v>0.066648513</v>
      </c>
      <c r="G249" s="6">
        <v>0</v>
      </c>
      <c r="H249" s="6">
        <v>0.023394925</v>
      </c>
      <c r="I249" s="6">
        <v>0.227010227</v>
      </c>
      <c r="J249" s="6">
        <v>0</v>
      </c>
      <c r="K249" s="6">
        <v>0.154881446</v>
      </c>
      <c r="L249" s="6">
        <v>0.014669324</v>
      </c>
      <c r="M249" s="6">
        <v>0.029204584</v>
      </c>
      <c r="N249" s="6">
        <v>0.012507647</v>
      </c>
      <c r="O249" s="6">
        <v>0</v>
      </c>
      <c r="P249" s="6">
        <v>0</v>
      </c>
      <c r="Q249" s="6">
        <v>0.036813963</v>
      </c>
      <c r="R249" s="6">
        <v>0.063261624</v>
      </c>
      <c r="S249" s="6">
        <v>0</v>
      </c>
      <c r="T249" s="6">
        <v>0.084586981</v>
      </c>
      <c r="U249" s="6">
        <v>0.241957352</v>
      </c>
      <c r="V249" s="6">
        <v>0.010496629</v>
      </c>
      <c r="W249" s="6">
        <v>0</v>
      </c>
      <c r="X249" s="6">
        <v>0.034566786</v>
      </c>
      <c r="Y249" s="6">
        <v>0</v>
      </c>
      <c r="Z249" s="6">
        <v>0</v>
      </c>
      <c r="AA249" s="6">
        <v>0</v>
      </c>
    </row>
    <row r="250" ht="15" hidden="1" spans="1:27">
      <c r="A250" s="6" t="s">
        <v>377</v>
      </c>
      <c r="B250" s="7" t="s">
        <v>344</v>
      </c>
      <c r="C250" s="7" t="s">
        <v>341</v>
      </c>
      <c r="D250" s="7" t="s">
        <v>157</v>
      </c>
      <c r="E250" s="7" t="s">
        <v>373</v>
      </c>
      <c r="F250" s="6">
        <v>0.064539878</v>
      </c>
      <c r="G250" s="6">
        <v>0</v>
      </c>
      <c r="H250" s="6">
        <v>0.083085314</v>
      </c>
      <c r="I250" s="6">
        <v>0.226939628</v>
      </c>
      <c r="J250" s="6">
        <v>0</v>
      </c>
      <c r="K250" s="6">
        <v>0.1920257</v>
      </c>
      <c r="L250" s="6">
        <v>0.024581642</v>
      </c>
      <c r="M250" s="6">
        <v>0.017833356</v>
      </c>
      <c r="N250" s="6">
        <v>0.011340826</v>
      </c>
      <c r="O250" s="6">
        <v>0</v>
      </c>
      <c r="P250" s="6">
        <v>0.007344668</v>
      </c>
      <c r="Q250" s="6">
        <v>0.013506198</v>
      </c>
      <c r="R250" s="6">
        <v>0.025781901</v>
      </c>
      <c r="S250" s="6">
        <v>0.03879778</v>
      </c>
      <c r="T250" s="6">
        <v>0.067981164</v>
      </c>
      <c r="U250" s="6">
        <v>0.200768072</v>
      </c>
      <c r="V250" s="6">
        <v>0</v>
      </c>
      <c r="W250" s="6">
        <v>0</v>
      </c>
      <c r="X250" s="6">
        <v>0.025473873</v>
      </c>
      <c r="Y250" s="6">
        <v>0</v>
      </c>
      <c r="Z250" s="6">
        <v>0</v>
      </c>
      <c r="AA250" s="6">
        <v>0</v>
      </c>
    </row>
    <row r="251" ht="15" hidden="1" spans="1:27">
      <c r="A251" s="6" t="s">
        <v>307</v>
      </c>
      <c r="B251" s="7" t="s">
        <v>29</v>
      </c>
      <c r="C251" s="7" t="s">
        <v>341</v>
      </c>
      <c r="D251" s="7" t="s">
        <v>118</v>
      </c>
      <c r="E251" s="7" t="s">
        <v>373</v>
      </c>
      <c r="F251" s="6">
        <v>0.143027728</v>
      </c>
      <c r="G251" s="6">
        <v>0</v>
      </c>
      <c r="H251" s="6">
        <v>0.040086262</v>
      </c>
      <c r="I251" s="6">
        <v>0.157636781</v>
      </c>
      <c r="J251" s="6">
        <v>0</v>
      </c>
      <c r="K251" s="6">
        <v>0.190647281</v>
      </c>
      <c r="L251" s="6">
        <v>0.017084856</v>
      </c>
      <c r="M251" s="6">
        <v>0.00667371</v>
      </c>
      <c r="N251" s="6">
        <v>0.031135043</v>
      </c>
      <c r="O251" s="6">
        <v>0</v>
      </c>
      <c r="P251" s="6">
        <v>0.023569622</v>
      </c>
      <c r="Q251" s="6">
        <v>0</v>
      </c>
      <c r="R251" s="6">
        <v>0.048020763</v>
      </c>
      <c r="S251" s="6">
        <v>0.086257412</v>
      </c>
      <c r="T251" s="6">
        <v>0.089666398</v>
      </c>
      <c r="U251" s="6">
        <v>0.14493335</v>
      </c>
      <c r="V251" s="6">
        <v>0</v>
      </c>
      <c r="W251" s="6">
        <v>0.001288521</v>
      </c>
      <c r="X251" s="6">
        <v>0.019972273</v>
      </c>
      <c r="Y251" s="6">
        <v>0</v>
      </c>
      <c r="Z251" s="6">
        <v>0</v>
      </c>
      <c r="AA251" s="6">
        <v>0</v>
      </c>
    </row>
    <row r="252" ht="15" hidden="1" spans="1:27">
      <c r="A252" s="6" t="s">
        <v>117</v>
      </c>
      <c r="B252" s="7" t="s">
        <v>29</v>
      </c>
      <c r="C252" s="7" t="s">
        <v>341</v>
      </c>
      <c r="D252" s="7" t="s">
        <v>118</v>
      </c>
      <c r="E252" s="7" t="s">
        <v>373</v>
      </c>
      <c r="F252" s="6">
        <v>0.029717566</v>
      </c>
      <c r="G252" s="6">
        <v>0</v>
      </c>
      <c r="H252" s="6">
        <v>0.007640707</v>
      </c>
      <c r="I252" s="6">
        <v>0.279474268</v>
      </c>
      <c r="J252" s="6">
        <v>0</v>
      </c>
      <c r="K252" s="6">
        <v>0.160498767</v>
      </c>
      <c r="L252" s="6">
        <v>0</v>
      </c>
      <c r="M252" s="6">
        <v>0.020467752</v>
      </c>
      <c r="N252" s="6">
        <v>0.037487637</v>
      </c>
      <c r="O252" s="6">
        <v>0</v>
      </c>
      <c r="P252" s="6">
        <v>0.01370443</v>
      </c>
      <c r="Q252" s="6">
        <v>0.016413926</v>
      </c>
      <c r="R252" s="6">
        <v>0.01635928</v>
      </c>
      <c r="S252" s="6">
        <v>0.109898214</v>
      </c>
      <c r="T252" s="6">
        <v>0.102141028</v>
      </c>
      <c r="U252" s="6">
        <v>0.200855262</v>
      </c>
      <c r="V252" s="6">
        <v>0</v>
      </c>
      <c r="W252" s="6">
        <v>0</v>
      </c>
      <c r="X252" s="6">
        <v>0.005341163</v>
      </c>
      <c r="Y252" s="6">
        <v>0</v>
      </c>
      <c r="Z252" s="6">
        <v>0</v>
      </c>
      <c r="AA252" s="6">
        <v>0</v>
      </c>
    </row>
    <row r="253" ht="15" hidden="1" spans="1:27">
      <c r="A253" s="6" t="s">
        <v>154</v>
      </c>
      <c r="B253" s="7" t="s">
        <v>344</v>
      </c>
      <c r="C253" s="7" t="s">
        <v>341</v>
      </c>
      <c r="D253" s="7" t="s">
        <v>55</v>
      </c>
      <c r="E253" s="7" t="s">
        <v>373</v>
      </c>
      <c r="F253" s="6">
        <v>0.033134363</v>
      </c>
      <c r="G253" s="6">
        <v>0</v>
      </c>
      <c r="H253" s="6">
        <v>0.017666194</v>
      </c>
      <c r="I253" s="6">
        <v>0.12355655</v>
      </c>
      <c r="J253" s="6">
        <v>0</v>
      </c>
      <c r="K253" s="6">
        <v>0.140594569</v>
      </c>
      <c r="L253" s="6">
        <v>0.026980772</v>
      </c>
      <c r="M253" s="6">
        <v>0.015611397</v>
      </c>
      <c r="N253" s="6">
        <v>0.006622377</v>
      </c>
      <c r="O253" s="6">
        <v>0</v>
      </c>
      <c r="P253" s="6">
        <v>0.008911952</v>
      </c>
      <c r="Q253" s="6">
        <v>0.011585675</v>
      </c>
      <c r="R253" s="6">
        <v>0.06609257</v>
      </c>
      <c r="S253" s="6">
        <v>0.103784431</v>
      </c>
      <c r="T253" s="6">
        <v>0.082723181</v>
      </c>
      <c r="U253" s="6">
        <v>0.318563193</v>
      </c>
      <c r="V253" s="6">
        <v>0.012956532</v>
      </c>
      <c r="W253" s="6">
        <v>0</v>
      </c>
      <c r="X253" s="6">
        <v>0.031216244</v>
      </c>
      <c r="Y253" s="6">
        <v>0</v>
      </c>
      <c r="Z253" s="6">
        <v>0</v>
      </c>
      <c r="AA253" s="6">
        <v>0</v>
      </c>
    </row>
    <row r="254" ht="15" hidden="1" spans="1:27">
      <c r="A254" s="6" t="s">
        <v>329</v>
      </c>
      <c r="B254" s="7" t="s">
        <v>29</v>
      </c>
      <c r="C254" s="7" t="s">
        <v>341</v>
      </c>
      <c r="D254" s="7" t="s">
        <v>55</v>
      </c>
      <c r="E254" s="7" t="s">
        <v>373</v>
      </c>
      <c r="F254" s="6">
        <v>0.066265552</v>
      </c>
      <c r="G254" s="6">
        <v>0</v>
      </c>
      <c r="H254" s="6">
        <v>0.042796326</v>
      </c>
      <c r="I254" s="6">
        <v>0.395847819</v>
      </c>
      <c r="J254" s="6">
        <v>0</v>
      </c>
      <c r="K254" s="6">
        <v>0.04351379</v>
      </c>
      <c r="L254" s="6">
        <v>0</v>
      </c>
      <c r="M254" s="6">
        <v>0.07884328</v>
      </c>
      <c r="N254" s="6">
        <v>0.091895038</v>
      </c>
      <c r="O254" s="6">
        <v>0</v>
      </c>
      <c r="P254" s="6">
        <v>0</v>
      </c>
      <c r="Q254" s="6">
        <v>0</v>
      </c>
      <c r="R254" s="6">
        <v>0.018997788</v>
      </c>
      <c r="S254" s="6">
        <v>0.033145208</v>
      </c>
      <c r="T254" s="6">
        <v>0.042377061</v>
      </c>
      <c r="U254" s="6">
        <v>0.178132724</v>
      </c>
      <c r="V254" s="6">
        <v>0</v>
      </c>
      <c r="W254" s="6">
        <v>0</v>
      </c>
      <c r="X254" s="6">
        <v>0</v>
      </c>
      <c r="Y254" s="6">
        <v>0.008185413</v>
      </c>
      <c r="Z254" s="6">
        <v>0</v>
      </c>
      <c r="AA254" s="6">
        <v>0</v>
      </c>
    </row>
    <row r="255" ht="15" hidden="1" spans="1:27">
      <c r="A255" s="6" t="s">
        <v>71</v>
      </c>
      <c r="B255" s="7" t="s">
        <v>341</v>
      </c>
      <c r="C255" s="7" t="s">
        <v>344</v>
      </c>
      <c r="D255" s="7" t="s">
        <v>31</v>
      </c>
      <c r="E255" s="7" t="s">
        <v>373</v>
      </c>
      <c r="F255" s="6">
        <v>0.011746129</v>
      </c>
      <c r="G255" s="6">
        <v>0</v>
      </c>
      <c r="H255" s="6">
        <v>0.013218169</v>
      </c>
      <c r="I255" s="6">
        <v>0.040641547</v>
      </c>
      <c r="J255" s="6">
        <v>0</v>
      </c>
      <c r="K255" s="6">
        <v>0.188868979</v>
      </c>
      <c r="L255" s="6">
        <v>0</v>
      </c>
      <c r="M255" s="6">
        <v>0</v>
      </c>
      <c r="N255" s="6">
        <v>0</v>
      </c>
      <c r="O255" s="6">
        <v>0</v>
      </c>
      <c r="P255" s="6">
        <v>0.020130439</v>
      </c>
      <c r="Q255" s="6">
        <v>0</v>
      </c>
      <c r="R255" s="6">
        <v>0.052224743</v>
      </c>
      <c r="S255" s="6">
        <v>0.035606532</v>
      </c>
      <c r="T255" s="6">
        <v>0.021374857</v>
      </c>
      <c r="U255" s="6">
        <v>0.350333308</v>
      </c>
      <c r="V255" s="6">
        <v>0</v>
      </c>
      <c r="W255" s="6">
        <v>0</v>
      </c>
      <c r="X255" s="6">
        <v>0.265855297</v>
      </c>
      <c r="Y255" s="6">
        <v>0</v>
      </c>
      <c r="Z255" s="6">
        <v>0</v>
      </c>
      <c r="AA255" s="6">
        <v>0</v>
      </c>
    </row>
    <row r="256" ht="15" hidden="1" spans="1:27">
      <c r="A256" s="6" t="s">
        <v>166</v>
      </c>
      <c r="B256" s="7" t="s">
        <v>29</v>
      </c>
      <c r="C256" s="7" t="s">
        <v>341</v>
      </c>
      <c r="D256" s="7" t="s">
        <v>18</v>
      </c>
      <c r="E256" s="7" t="s">
        <v>373</v>
      </c>
      <c r="F256" s="6">
        <v>0.056559469</v>
      </c>
      <c r="G256" s="6">
        <v>0</v>
      </c>
      <c r="H256" s="6">
        <v>0.002570631</v>
      </c>
      <c r="I256" s="6">
        <v>0.020320875</v>
      </c>
      <c r="J256" s="6">
        <v>0</v>
      </c>
      <c r="K256" s="6">
        <v>0.300957336</v>
      </c>
      <c r="L256" s="6">
        <v>0</v>
      </c>
      <c r="M256" s="6">
        <v>0.048163343</v>
      </c>
      <c r="N256" s="6">
        <v>0</v>
      </c>
      <c r="O256" s="6">
        <v>0</v>
      </c>
      <c r="P256" s="6">
        <v>0</v>
      </c>
      <c r="Q256" s="6">
        <v>0.039072889</v>
      </c>
      <c r="R256" s="6">
        <v>0.052095535</v>
      </c>
      <c r="S256" s="6">
        <v>0.032699511</v>
      </c>
      <c r="T256" s="6">
        <v>0.073033599</v>
      </c>
      <c r="U256" s="6">
        <v>0.243735908</v>
      </c>
      <c r="V256" s="6">
        <v>0</v>
      </c>
      <c r="W256" s="6">
        <v>0</v>
      </c>
      <c r="X256" s="6">
        <v>0.130790904</v>
      </c>
      <c r="Y256" s="6">
        <v>0</v>
      </c>
      <c r="Z256" s="6">
        <v>0</v>
      </c>
      <c r="AA256" s="6">
        <v>0</v>
      </c>
    </row>
    <row r="257" ht="15" hidden="1" spans="1:27">
      <c r="A257" s="6" t="s">
        <v>90</v>
      </c>
      <c r="B257" s="7" t="s">
        <v>341</v>
      </c>
      <c r="C257" s="7" t="s">
        <v>344</v>
      </c>
      <c r="D257" s="7" t="s">
        <v>18</v>
      </c>
      <c r="E257" s="7" t="s">
        <v>373</v>
      </c>
      <c r="F257" s="6">
        <v>0.07330703</v>
      </c>
      <c r="G257" s="6">
        <v>0</v>
      </c>
      <c r="H257" s="6">
        <v>0</v>
      </c>
      <c r="I257" s="6">
        <v>0.004856439</v>
      </c>
      <c r="J257" s="6">
        <v>0</v>
      </c>
      <c r="K257" s="6">
        <v>0.29700623</v>
      </c>
      <c r="L257" s="6">
        <v>0</v>
      </c>
      <c r="M257" s="6">
        <v>0</v>
      </c>
      <c r="N257" s="6">
        <v>0</v>
      </c>
      <c r="O257" s="6">
        <v>0</v>
      </c>
      <c r="P257" s="6">
        <v>0.013529491</v>
      </c>
      <c r="Q257" s="6">
        <v>0.012926394</v>
      </c>
      <c r="R257" s="6">
        <v>0.108750476</v>
      </c>
      <c r="S257" s="6">
        <v>0</v>
      </c>
      <c r="T257" s="6">
        <v>0.09319732</v>
      </c>
      <c r="U257" s="6">
        <v>0.285322193</v>
      </c>
      <c r="V257" s="6">
        <v>0</v>
      </c>
      <c r="W257" s="6">
        <v>0</v>
      </c>
      <c r="X257" s="6">
        <v>0.111104428</v>
      </c>
      <c r="Y257" s="6">
        <v>0</v>
      </c>
      <c r="Z257" s="6">
        <v>0</v>
      </c>
      <c r="AA257" s="6">
        <v>0</v>
      </c>
    </row>
    <row r="258" ht="15" hidden="1" spans="1:27">
      <c r="A258" s="6" t="s">
        <v>183</v>
      </c>
      <c r="B258" s="7" t="s">
        <v>29</v>
      </c>
      <c r="C258" s="7" t="s">
        <v>341</v>
      </c>
      <c r="D258" s="7" t="s">
        <v>18</v>
      </c>
      <c r="E258" s="7" t="s">
        <v>373</v>
      </c>
      <c r="F258" s="6">
        <v>0.251625476</v>
      </c>
      <c r="G258" s="6">
        <v>0</v>
      </c>
      <c r="H258" s="6">
        <v>0</v>
      </c>
      <c r="I258" s="6">
        <v>0.056941841</v>
      </c>
      <c r="J258" s="6">
        <v>0</v>
      </c>
      <c r="K258" s="6">
        <v>0.322295192</v>
      </c>
      <c r="L258" s="6">
        <v>0</v>
      </c>
      <c r="M258" s="6">
        <v>0.00811537</v>
      </c>
      <c r="N258" s="6">
        <v>0.007663413</v>
      </c>
      <c r="O258" s="6">
        <v>0</v>
      </c>
      <c r="P258" s="6">
        <v>0.00355698</v>
      </c>
      <c r="Q258" s="6">
        <v>0.020452268</v>
      </c>
      <c r="R258" s="6">
        <v>0.055435631</v>
      </c>
      <c r="S258" s="6">
        <v>0.05300288</v>
      </c>
      <c r="T258" s="6">
        <v>0.026416486</v>
      </c>
      <c r="U258" s="6">
        <v>0.173186216</v>
      </c>
      <c r="V258" s="6">
        <v>0</v>
      </c>
      <c r="W258" s="6">
        <v>0.002309293</v>
      </c>
      <c r="X258" s="6">
        <v>0.018998954</v>
      </c>
      <c r="Y258" s="6">
        <v>0</v>
      </c>
      <c r="Z258" s="6">
        <v>0</v>
      </c>
      <c r="AA258" s="6">
        <v>0</v>
      </c>
    </row>
    <row r="259" ht="15" hidden="1" spans="1:27">
      <c r="A259" s="6" t="s">
        <v>133</v>
      </c>
      <c r="B259" s="7" t="s">
        <v>29</v>
      </c>
      <c r="C259" s="7" t="s">
        <v>341</v>
      </c>
      <c r="D259" s="7" t="s">
        <v>18</v>
      </c>
      <c r="E259" s="7" t="s">
        <v>373</v>
      </c>
      <c r="F259" s="6">
        <v>0.142438869</v>
      </c>
      <c r="G259" s="6">
        <v>0</v>
      </c>
      <c r="H259" s="6">
        <v>0</v>
      </c>
      <c r="I259" s="6">
        <v>0</v>
      </c>
      <c r="J259" s="6">
        <v>0</v>
      </c>
      <c r="K259" s="6">
        <v>0.304570209</v>
      </c>
      <c r="L259" s="6">
        <v>0</v>
      </c>
      <c r="M259" s="6">
        <v>0.00221875</v>
      </c>
      <c r="N259" s="6">
        <v>0.037778992</v>
      </c>
      <c r="O259" s="6">
        <v>0</v>
      </c>
      <c r="P259" s="6">
        <v>0</v>
      </c>
      <c r="Q259" s="6">
        <v>0.0440836</v>
      </c>
      <c r="R259" s="6">
        <v>0.152922878</v>
      </c>
      <c r="S259" s="6">
        <v>0.015842556</v>
      </c>
      <c r="T259" s="6">
        <v>0.004878033</v>
      </c>
      <c r="U259" s="6">
        <v>0.199668732</v>
      </c>
      <c r="V259" s="6">
        <v>0</v>
      </c>
      <c r="W259" s="6">
        <v>0.001815232</v>
      </c>
      <c r="X259" s="6">
        <v>0.09378215</v>
      </c>
      <c r="Y259" s="6">
        <v>0</v>
      </c>
      <c r="Z259" s="6">
        <v>0</v>
      </c>
      <c r="AA259" s="6">
        <v>0</v>
      </c>
    </row>
    <row r="260" ht="15" hidden="1" spans="1:27">
      <c r="A260" s="6" t="s">
        <v>39</v>
      </c>
      <c r="B260" s="7" t="s">
        <v>341</v>
      </c>
      <c r="C260" s="7" t="s">
        <v>341</v>
      </c>
      <c r="D260" s="7" t="s">
        <v>18</v>
      </c>
      <c r="E260" s="7" t="s">
        <v>373</v>
      </c>
      <c r="F260" s="6">
        <v>0.138011463</v>
      </c>
      <c r="G260" s="6">
        <v>0</v>
      </c>
      <c r="H260" s="6">
        <v>0</v>
      </c>
      <c r="I260" s="6">
        <v>0</v>
      </c>
      <c r="J260" s="6">
        <v>0</v>
      </c>
      <c r="K260" s="6">
        <v>0.283126573</v>
      </c>
      <c r="L260" s="6">
        <v>0</v>
      </c>
      <c r="M260" s="6">
        <v>0</v>
      </c>
      <c r="N260" s="6">
        <v>0</v>
      </c>
      <c r="O260" s="6">
        <v>0</v>
      </c>
      <c r="P260" s="6">
        <v>0.011299245</v>
      </c>
      <c r="Q260" s="6">
        <v>0.047213706</v>
      </c>
      <c r="R260" s="6">
        <v>0.046088686</v>
      </c>
      <c r="S260" s="6">
        <v>0.065116587</v>
      </c>
      <c r="T260" s="6">
        <v>0.02501977</v>
      </c>
      <c r="U260" s="6">
        <v>0.340776504</v>
      </c>
      <c r="V260" s="6">
        <v>0</v>
      </c>
      <c r="W260" s="6">
        <v>0.034731071</v>
      </c>
      <c r="X260" s="6">
        <v>0.008616394</v>
      </c>
      <c r="Y260" s="6">
        <v>0</v>
      </c>
      <c r="Z260" s="6">
        <v>0</v>
      </c>
      <c r="AA260" s="6">
        <v>0</v>
      </c>
    </row>
    <row r="261" ht="15" hidden="1" spans="1:27">
      <c r="A261" s="6" t="s">
        <v>163</v>
      </c>
      <c r="B261" s="7" t="s">
        <v>29</v>
      </c>
      <c r="C261" s="7" t="s">
        <v>341</v>
      </c>
      <c r="D261" s="7" t="s">
        <v>18</v>
      </c>
      <c r="E261" s="7" t="s">
        <v>373</v>
      </c>
      <c r="F261" s="6">
        <v>0.079542635</v>
      </c>
      <c r="G261" s="6">
        <v>0</v>
      </c>
      <c r="H261" s="6">
        <v>0.019968433</v>
      </c>
      <c r="I261" s="6">
        <v>0.114035388</v>
      </c>
      <c r="J261" s="6">
        <v>0</v>
      </c>
      <c r="K261" s="6">
        <v>0.172374962</v>
      </c>
      <c r="L261" s="6">
        <v>0</v>
      </c>
      <c r="M261" s="6">
        <v>0</v>
      </c>
      <c r="N261" s="6">
        <v>0.0001</v>
      </c>
      <c r="O261" s="6">
        <v>0</v>
      </c>
      <c r="P261" s="6">
        <v>0</v>
      </c>
      <c r="Q261" s="6">
        <v>0.036895623</v>
      </c>
      <c r="R261" s="6">
        <v>0.14015839</v>
      </c>
      <c r="S261" s="6">
        <v>0</v>
      </c>
      <c r="T261" s="6">
        <v>0.035049534</v>
      </c>
      <c r="U261" s="6">
        <v>0.285941335</v>
      </c>
      <c r="V261" s="6">
        <v>0</v>
      </c>
      <c r="W261" s="6">
        <v>0</v>
      </c>
      <c r="X261" s="6">
        <v>0.11593346</v>
      </c>
      <c r="Y261" s="6">
        <v>0</v>
      </c>
      <c r="Z261" s="6">
        <v>0</v>
      </c>
      <c r="AA261" s="6">
        <v>0</v>
      </c>
    </row>
    <row r="262" ht="15" hidden="1" spans="1:27">
      <c r="A262" s="6" t="s">
        <v>264</v>
      </c>
      <c r="B262" s="7" t="s">
        <v>344</v>
      </c>
      <c r="C262" s="7" t="s">
        <v>341</v>
      </c>
      <c r="D262" s="7" t="s">
        <v>55</v>
      </c>
      <c r="E262" s="7" t="s">
        <v>373</v>
      </c>
      <c r="F262" s="6">
        <v>0.177690644</v>
      </c>
      <c r="G262" s="6">
        <v>0</v>
      </c>
      <c r="H262" s="6">
        <v>0</v>
      </c>
      <c r="I262" s="6">
        <v>0.023669861</v>
      </c>
      <c r="J262" s="6">
        <v>0</v>
      </c>
      <c r="K262" s="6">
        <v>0.198092953</v>
      </c>
      <c r="L262" s="6">
        <v>0</v>
      </c>
      <c r="M262" s="6">
        <v>0.007874611</v>
      </c>
      <c r="N262" s="6">
        <v>0.044744631</v>
      </c>
      <c r="O262" s="6">
        <v>0</v>
      </c>
      <c r="P262" s="6">
        <v>0.019314403</v>
      </c>
      <c r="Q262" s="6">
        <v>0.014114333</v>
      </c>
      <c r="R262" s="6">
        <v>0.11523079</v>
      </c>
      <c r="S262" s="6">
        <v>0.060407394</v>
      </c>
      <c r="T262" s="6">
        <v>0.0008</v>
      </c>
      <c r="U262" s="6">
        <v>0.320086851</v>
      </c>
      <c r="V262" s="6">
        <v>0</v>
      </c>
      <c r="W262" s="6">
        <v>0</v>
      </c>
      <c r="X262" s="6">
        <v>0.012536194</v>
      </c>
      <c r="Y262" s="6">
        <v>0</v>
      </c>
      <c r="Z262" s="6">
        <v>0.0005</v>
      </c>
      <c r="AA262" s="6">
        <v>0.004905122</v>
      </c>
    </row>
    <row r="263" ht="15" spans="1:27">
      <c r="A263" s="6" t="s">
        <v>290</v>
      </c>
      <c r="B263" s="7" t="s">
        <v>29</v>
      </c>
      <c r="C263" s="7" t="s">
        <v>29</v>
      </c>
      <c r="D263" s="7" t="s">
        <v>291</v>
      </c>
      <c r="E263" s="7" t="s">
        <v>373</v>
      </c>
      <c r="F263" s="6">
        <v>0.168743017</v>
      </c>
      <c r="G263" s="6">
        <v>0</v>
      </c>
      <c r="H263" s="6">
        <v>0.043017319</v>
      </c>
      <c r="I263" s="6">
        <v>0.041268397</v>
      </c>
      <c r="J263" s="6">
        <v>0</v>
      </c>
      <c r="K263" s="6">
        <v>0.201737173</v>
      </c>
      <c r="L263" s="6">
        <v>0</v>
      </c>
      <c r="M263" s="6">
        <v>0.0004</v>
      </c>
      <c r="N263" s="6">
        <v>0</v>
      </c>
      <c r="O263" s="6">
        <v>0</v>
      </c>
      <c r="P263" s="6">
        <v>0</v>
      </c>
      <c r="Q263" s="6">
        <v>0.038292931</v>
      </c>
      <c r="R263" s="6">
        <v>0.020257478</v>
      </c>
      <c r="S263" s="6">
        <v>0.04264664</v>
      </c>
      <c r="T263" s="6">
        <v>0.023554095</v>
      </c>
      <c r="U263" s="6">
        <v>0.220163954</v>
      </c>
      <c r="V263" s="6">
        <v>0</v>
      </c>
      <c r="W263" s="6">
        <v>0</v>
      </c>
      <c r="X263" s="6">
        <v>0.199883826</v>
      </c>
      <c r="Y263" s="6">
        <v>0</v>
      </c>
      <c r="Z263" s="6">
        <v>0</v>
      </c>
      <c r="AA263" s="6">
        <v>0</v>
      </c>
    </row>
    <row r="264" ht="15" spans="1:27">
      <c r="A264" s="6" t="s">
        <v>297</v>
      </c>
      <c r="B264" s="7" t="s">
        <v>29</v>
      </c>
      <c r="C264" s="7" t="s">
        <v>29</v>
      </c>
      <c r="D264" s="7" t="s">
        <v>31</v>
      </c>
      <c r="E264" s="7" t="s">
        <v>373</v>
      </c>
      <c r="F264" s="6">
        <v>0.060139992</v>
      </c>
      <c r="G264" s="6">
        <v>0</v>
      </c>
      <c r="H264" s="6">
        <v>0.120588098</v>
      </c>
      <c r="I264" s="6">
        <v>0</v>
      </c>
      <c r="J264" s="6">
        <v>0</v>
      </c>
      <c r="K264" s="6">
        <v>0.330072359</v>
      </c>
      <c r="L264" s="6">
        <v>0.001831969</v>
      </c>
      <c r="M264" s="6">
        <v>0</v>
      </c>
      <c r="N264" s="6">
        <v>0.002842427</v>
      </c>
      <c r="O264" s="6">
        <v>0</v>
      </c>
      <c r="P264" s="6">
        <v>0.009450961</v>
      </c>
      <c r="Q264" s="6">
        <v>0</v>
      </c>
      <c r="R264" s="6">
        <v>0.074026179</v>
      </c>
      <c r="S264" s="6">
        <v>0</v>
      </c>
      <c r="T264" s="6">
        <v>0</v>
      </c>
      <c r="U264" s="6">
        <v>0.235054565</v>
      </c>
      <c r="V264" s="6">
        <v>0</v>
      </c>
      <c r="W264" s="6">
        <v>0.0004</v>
      </c>
      <c r="X264" s="6">
        <v>0.163327041</v>
      </c>
      <c r="Y264" s="6">
        <v>0</v>
      </c>
      <c r="Z264" s="6">
        <v>0.00229019</v>
      </c>
      <c r="AA264" s="6">
        <v>0</v>
      </c>
    </row>
  </sheetData>
  <autoFilter ref="A1:AA264">
    <filterColumn colId="1">
      <customFilters>
        <customFilter operator="equal" val="Unknown"/>
      </customFilters>
    </filterColumn>
    <filterColumn colId="2">
      <customFilters>
        <customFilter operator="equal" val="Unknown"/>
      </customFilters>
    </filterColumn>
    <extLst/>
  </autoFilter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63"/>
  <sheetViews>
    <sheetView workbookViewId="0">
      <selection activeCell="H10" sqref="H10"/>
    </sheetView>
  </sheetViews>
  <sheetFormatPr defaultColWidth="9" defaultRowHeight="13.5"/>
  <cols>
    <col min="1" max="1" width="17.25" customWidth="1"/>
    <col min="4" max="4" width="14.625" customWidth="1"/>
    <col min="10" max="10" width="13.75" customWidth="1"/>
  </cols>
  <sheetData>
    <row r="1" ht="15" spans="1:10">
      <c r="A1" s="5" t="s">
        <v>345</v>
      </c>
      <c r="B1" t="s">
        <v>9</v>
      </c>
      <c r="C1" t="s">
        <v>378</v>
      </c>
      <c r="D1" s="5" t="s">
        <v>347</v>
      </c>
      <c r="J1" s="8" t="s">
        <v>254</v>
      </c>
    </row>
    <row r="2" ht="15" spans="1:13">
      <c r="A2" s="6" t="s">
        <v>148</v>
      </c>
      <c r="B2">
        <f>VLOOKUP(A2:A260,Sheet1!A$2:J$260,10,0)</f>
        <v>1521</v>
      </c>
      <c r="C2" t="str">
        <f>VLOOKUP(A2:A260,Sheet1!A$2:J$260,5,0)</f>
        <v>Alive</v>
      </c>
      <c r="D2" s="7" t="s">
        <v>370</v>
      </c>
      <c r="E2">
        <v>1</v>
      </c>
      <c r="J2" s="8" t="s">
        <v>311</v>
      </c>
      <c r="M2">
        <v>1</v>
      </c>
    </row>
    <row r="3" ht="15" spans="1:13">
      <c r="A3" s="6" t="s">
        <v>60</v>
      </c>
      <c r="B3">
        <f>VLOOKUP(A3:A261,Sheet1!A$2:J$260,10,0)</f>
        <v>599</v>
      </c>
      <c r="C3" t="str">
        <f>VLOOKUP(A3:A261,Sheet1!A$2:J$260,5,0)</f>
        <v>Dead</v>
      </c>
      <c r="D3" s="7" t="s">
        <v>370</v>
      </c>
      <c r="E3">
        <v>2</v>
      </c>
      <c r="J3" s="8" t="s">
        <v>338</v>
      </c>
      <c r="M3">
        <v>0</v>
      </c>
    </row>
    <row r="4" ht="15" spans="1:13">
      <c r="A4" s="6" t="s">
        <v>253</v>
      </c>
      <c r="B4">
        <f>VLOOKUP(A4:A262,Sheet1!A$2:J$260,10,0)</f>
        <v>1627</v>
      </c>
      <c r="C4" t="str">
        <f>VLOOKUP(A4:A262,Sheet1!A$2:J$260,5,0)</f>
        <v>Dead</v>
      </c>
      <c r="D4" s="7" t="s">
        <v>370</v>
      </c>
      <c r="E4">
        <v>3</v>
      </c>
      <c r="J4" s="8" t="s">
        <v>48</v>
      </c>
      <c r="M4">
        <v>0</v>
      </c>
    </row>
    <row r="5" ht="15" spans="1:13">
      <c r="A5" s="6" t="s">
        <v>333</v>
      </c>
      <c r="B5">
        <f>VLOOKUP(A5:A263,Sheet1!A$2:J$260,10,0)</f>
        <v>1096</v>
      </c>
      <c r="C5" t="str">
        <f>VLOOKUP(A5:A263,Sheet1!A$2:J$260,5,0)</f>
        <v>Alive</v>
      </c>
      <c r="D5" s="7" t="s">
        <v>370</v>
      </c>
      <c r="E5">
        <v>4</v>
      </c>
      <c r="J5" s="8" t="s">
        <v>209</v>
      </c>
      <c r="M5">
        <v>1</v>
      </c>
    </row>
    <row r="6" ht="15" spans="1:13">
      <c r="A6" s="6" t="s">
        <v>223</v>
      </c>
      <c r="B6">
        <f>VLOOKUP(A6:A264,Sheet1!A$2:J$260,10,0)</f>
        <v>17</v>
      </c>
      <c r="C6" t="str">
        <f>VLOOKUP(A6:A264,Sheet1!A$2:J$260,5,0)</f>
        <v>Dead</v>
      </c>
      <c r="D6" s="7" t="s">
        <v>370</v>
      </c>
      <c r="E6">
        <v>5</v>
      </c>
      <c r="J6" s="8" t="s">
        <v>98</v>
      </c>
      <c r="M6">
        <v>0</v>
      </c>
    </row>
    <row r="7" ht="15" spans="1:13">
      <c r="A7" s="6" t="s">
        <v>99</v>
      </c>
      <c r="B7">
        <f>VLOOKUP(A7:A265,Sheet1!A$2:J$260,10,0)</f>
        <v>427</v>
      </c>
      <c r="C7" t="str">
        <f>VLOOKUP(A7:A265,Sheet1!A$2:J$260,5,0)</f>
        <v>Dead</v>
      </c>
      <c r="D7" s="7" t="s">
        <v>370</v>
      </c>
      <c r="E7">
        <v>6</v>
      </c>
      <c r="J7" s="8" t="s">
        <v>283</v>
      </c>
      <c r="M7">
        <v>0</v>
      </c>
    </row>
    <row r="8" ht="15" spans="1:13">
      <c r="A8" s="6" t="s">
        <v>236</v>
      </c>
      <c r="B8">
        <f>VLOOKUP(A8:A266,Sheet1!A$2:J$260,10,0)</f>
        <v>1057</v>
      </c>
      <c r="C8" t="str">
        <f>VLOOKUP(A8:A266,Sheet1!A$2:J$260,5,0)</f>
        <v>Dead</v>
      </c>
      <c r="D8" s="7" t="s">
        <v>370</v>
      </c>
      <c r="E8">
        <v>7</v>
      </c>
      <c r="J8" s="8" t="s">
        <v>293</v>
      </c>
      <c r="M8">
        <v>0</v>
      </c>
    </row>
    <row r="9" ht="15" spans="1:13">
      <c r="A9" s="6" t="s">
        <v>100</v>
      </c>
      <c r="B9">
        <f>VLOOKUP(A9:A267,Sheet1!A$2:J$260,10,0)</f>
        <v>391</v>
      </c>
      <c r="C9" t="str">
        <f>VLOOKUP(A9:A267,Sheet1!A$2:J$260,5,0)</f>
        <v>Dead</v>
      </c>
      <c r="D9" s="7" t="s">
        <v>370</v>
      </c>
      <c r="E9">
        <v>8</v>
      </c>
      <c r="J9" s="8" t="s">
        <v>142</v>
      </c>
      <c r="M9">
        <v>0</v>
      </c>
    </row>
    <row r="10" ht="15" spans="1:13">
      <c r="A10" s="6" t="s">
        <v>107</v>
      </c>
      <c r="B10">
        <f>VLOOKUP(A10:A268,Sheet1!A$2:J$260,10,0)</f>
        <v>1372</v>
      </c>
      <c r="C10" t="str">
        <f>VLOOKUP(A10:A268,Sheet1!A$2:J$260,5,0)</f>
        <v>Alive</v>
      </c>
      <c r="D10" s="7" t="s">
        <v>370</v>
      </c>
      <c r="E10">
        <v>9</v>
      </c>
      <c r="J10" s="8" t="s">
        <v>143</v>
      </c>
      <c r="M10">
        <v>1</v>
      </c>
    </row>
    <row r="11" ht="15" spans="1:13">
      <c r="A11" s="6" t="s">
        <v>267</v>
      </c>
      <c r="B11">
        <f>VLOOKUP(A11:A269,Sheet1!A$2:J$260,10,0)</f>
        <v>2586</v>
      </c>
      <c r="C11" t="str">
        <f>VLOOKUP(A11:A269,Sheet1!A$2:J$260,5,0)</f>
        <v>Alive</v>
      </c>
      <c r="D11" s="7" t="s">
        <v>370</v>
      </c>
      <c r="E11">
        <v>10</v>
      </c>
      <c r="J11" s="8" t="s">
        <v>101</v>
      </c>
      <c r="M11">
        <v>1</v>
      </c>
    </row>
    <row r="12" ht="15" spans="1:13">
      <c r="A12" s="6" t="s">
        <v>40</v>
      </c>
      <c r="B12">
        <f>VLOOKUP(A12:A270,Sheet1!A$2:J$260,10,0)</f>
        <v>1980</v>
      </c>
      <c r="C12" t="str">
        <f>VLOOKUP(A12:A270,Sheet1!A$2:J$260,5,0)</f>
        <v>Dead</v>
      </c>
      <c r="D12" s="7" t="s">
        <v>370</v>
      </c>
      <c r="E12">
        <v>11</v>
      </c>
      <c r="J12" s="8" t="s">
        <v>282</v>
      </c>
      <c r="M12">
        <v>0</v>
      </c>
    </row>
    <row r="13" ht="15" spans="1:13">
      <c r="A13" s="6" t="s">
        <v>30</v>
      </c>
      <c r="B13">
        <f>VLOOKUP(A13:A271,Sheet1!A$2:J$260,10,0)</f>
        <v>2034</v>
      </c>
      <c r="C13" t="str">
        <f>VLOOKUP(A13:A271,Sheet1!A$2:J$260,5,0)</f>
        <v>Dead</v>
      </c>
      <c r="D13" s="7" t="s">
        <v>370</v>
      </c>
      <c r="E13">
        <v>12</v>
      </c>
      <c r="J13" s="8" t="s">
        <v>114</v>
      </c>
      <c r="M13">
        <v>0</v>
      </c>
    </row>
    <row r="14" ht="15" spans="1:13">
      <c r="A14" s="6" t="s">
        <v>195</v>
      </c>
      <c r="B14">
        <f>VLOOKUP(A14:A272,Sheet1!A$2:J$260,10,0)</f>
        <v>2901</v>
      </c>
      <c r="C14" t="str">
        <f>VLOOKUP(A14:A272,Sheet1!A$2:J$260,5,0)</f>
        <v>Alive</v>
      </c>
      <c r="D14" s="7" t="s">
        <v>370</v>
      </c>
      <c r="E14">
        <v>13</v>
      </c>
      <c r="J14" s="8" t="s">
        <v>271</v>
      </c>
      <c r="M14">
        <v>1</v>
      </c>
    </row>
    <row r="15" ht="15" spans="1:13">
      <c r="A15" s="6" t="s">
        <v>69</v>
      </c>
      <c r="B15">
        <f>VLOOKUP(A15:A273,Sheet1!A$2:J$260,10,0)</f>
        <v>275</v>
      </c>
      <c r="C15" t="str">
        <f>VLOOKUP(A15:A273,Sheet1!A$2:J$260,5,0)</f>
        <v>Dead</v>
      </c>
      <c r="D15" s="7" t="s">
        <v>370</v>
      </c>
      <c r="E15">
        <v>14</v>
      </c>
      <c r="J15" s="8" t="s">
        <v>73</v>
      </c>
      <c r="M15">
        <v>0</v>
      </c>
    </row>
    <row r="16" ht="15" spans="1:13">
      <c r="A16" s="6" t="s">
        <v>316</v>
      </c>
      <c r="B16">
        <f>VLOOKUP(A16:A274,Sheet1!A$2:J$260,10,0)</f>
        <v>1492</v>
      </c>
      <c r="C16" t="str">
        <f>VLOOKUP(A16:A274,Sheet1!A$2:J$260,5,0)</f>
        <v>Alive</v>
      </c>
      <c r="D16" s="7" t="s">
        <v>370</v>
      </c>
      <c r="E16">
        <v>15</v>
      </c>
      <c r="J16" s="8" t="s">
        <v>121</v>
      </c>
      <c r="M16">
        <v>1</v>
      </c>
    </row>
    <row r="17" ht="15" spans="1:13">
      <c r="A17" s="6" t="s">
        <v>331</v>
      </c>
      <c r="B17">
        <f>VLOOKUP(A17:A275,Sheet1!A$2:J$260,10,0)</f>
        <v>4150</v>
      </c>
      <c r="C17" t="str">
        <f>VLOOKUP(A17:A275,Sheet1!A$2:J$260,5,0)</f>
        <v>Alive</v>
      </c>
      <c r="D17" s="7" t="s">
        <v>370</v>
      </c>
      <c r="E17">
        <v>16</v>
      </c>
      <c r="J17" s="8" t="s">
        <v>213</v>
      </c>
      <c r="M17">
        <v>1</v>
      </c>
    </row>
    <row r="18" ht="15" spans="1:13">
      <c r="A18" s="6" t="s">
        <v>304</v>
      </c>
      <c r="B18">
        <f>VLOOKUP(A18:A276,Sheet1!A$2:J$260,10,0)</f>
        <v>1017</v>
      </c>
      <c r="C18" t="str">
        <f>VLOOKUP(A18:A276,Sheet1!A$2:J$260,5,0)</f>
        <v>Alive</v>
      </c>
      <c r="D18" s="7" t="s">
        <v>370</v>
      </c>
      <c r="E18">
        <v>17</v>
      </c>
      <c r="J18" s="8" t="s">
        <v>92</v>
      </c>
      <c r="M18">
        <v>1</v>
      </c>
    </row>
    <row r="19" ht="15" spans="1:13">
      <c r="A19" s="6" t="s">
        <v>197</v>
      </c>
      <c r="B19">
        <f>VLOOKUP(A19:A277,Sheet1!A$2:J$260,10,0)</f>
        <v>1055</v>
      </c>
      <c r="C19" t="str">
        <f>VLOOKUP(A19:A277,Sheet1!A$2:J$260,5,0)</f>
        <v>Alive</v>
      </c>
      <c r="D19" s="7" t="s">
        <v>370</v>
      </c>
      <c r="E19">
        <v>18</v>
      </c>
      <c r="J19" s="8" t="s">
        <v>81</v>
      </c>
      <c r="M19">
        <v>1</v>
      </c>
    </row>
    <row r="20" ht="15" spans="1:13">
      <c r="A20" s="6" t="s">
        <v>125</v>
      </c>
      <c r="B20">
        <f>VLOOKUP(A20:A278,Sheet1!A$2:J$260,10,0)</f>
        <v>969</v>
      </c>
      <c r="C20" t="str">
        <f>VLOOKUP(A20:A278,Sheet1!A$2:J$260,5,0)</f>
        <v>Alive</v>
      </c>
      <c r="D20" s="7" t="s">
        <v>370</v>
      </c>
      <c r="E20">
        <v>19</v>
      </c>
      <c r="J20" s="8" t="s">
        <v>259</v>
      </c>
      <c r="M20">
        <v>1</v>
      </c>
    </row>
    <row r="21" ht="15" spans="1:13">
      <c r="A21" s="6" t="s">
        <v>213</v>
      </c>
      <c r="B21">
        <f>VLOOKUP(A21:A279,Sheet1!A$2:J$260,10,0)</f>
        <v>138</v>
      </c>
      <c r="C21" t="str">
        <f>VLOOKUP(A21:A279,Sheet1!A$2:J$260,5,0)</f>
        <v>Dead</v>
      </c>
      <c r="D21" s="7" t="s">
        <v>370</v>
      </c>
      <c r="E21">
        <v>20</v>
      </c>
      <c r="J21" s="8" t="s">
        <v>210</v>
      </c>
      <c r="M21">
        <v>0</v>
      </c>
    </row>
    <row r="22" ht="15" spans="1:13">
      <c r="A22" s="6" t="s">
        <v>278</v>
      </c>
      <c r="B22">
        <f>VLOOKUP(A22:A280,Sheet1!A$2:J$260,10,0)</f>
        <v>2247</v>
      </c>
      <c r="C22" t="str">
        <f>VLOOKUP(A22:A280,Sheet1!A$2:J$260,5,0)</f>
        <v>Alive</v>
      </c>
      <c r="D22" s="7" t="s">
        <v>370</v>
      </c>
      <c r="E22">
        <v>21</v>
      </c>
      <c r="J22" s="8" t="s">
        <v>133</v>
      </c>
      <c r="M22">
        <v>1</v>
      </c>
    </row>
    <row r="23" ht="15" spans="1:13">
      <c r="A23" s="6" t="s">
        <v>129</v>
      </c>
      <c r="B23">
        <f>VLOOKUP(A23:A281,Sheet1!A$2:J$260,10,0)</f>
        <v>2085</v>
      </c>
      <c r="C23" t="str">
        <f>VLOOKUP(A23:A281,Sheet1!A$2:J$260,5,0)</f>
        <v>Alive</v>
      </c>
      <c r="D23" s="7" t="s">
        <v>370</v>
      </c>
      <c r="E23">
        <v>22</v>
      </c>
      <c r="J23" s="8" t="s">
        <v>128</v>
      </c>
      <c r="M23">
        <v>1</v>
      </c>
    </row>
    <row r="24" ht="15" spans="1:13">
      <c r="A24" s="6" t="s">
        <v>115</v>
      </c>
      <c r="B24">
        <f>VLOOKUP(A24:A282,Sheet1!A$2:J$260,10,0)</f>
        <v>1534</v>
      </c>
      <c r="C24" t="str">
        <f>VLOOKUP(A24:A282,Sheet1!A$2:J$260,5,0)</f>
        <v>Alive</v>
      </c>
      <c r="D24" s="7" t="s">
        <v>370</v>
      </c>
      <c r="E24">
        <v>23</v>
      </c>
      <c r="J24" s="8" t="s">
        <v>231</v>
      </c>
      <c r="M24">
        <v>1</v>
      </c>
    </row>
    <row r="25" ht="15" spans="1:13">
      <c r="A25" s="6" t="s">
        <v>82</v>
      </c>
      <c r="B25">
        <f>VLOOKUP(A25:A283,Sheet1!A$2:J$260,10,0)</f>
        <v>1061</v>
      </c>
      <c r="C25" t="str">
        <f>VLOOKUP(A25:A283,Sheet1!A$2:J$260,5,0)</f>
        <v>Dead</v>
      </c>
      <c r="D25" s="7" t="s">
        <v>370</v>
      </c>
      <c r="E25">
        <v>24</v>
      </c>
      <c r="J25" s="8" t="s">
        <v>155</v>
      </c>
      <c r="M25">
        <v>0</v>
      </c>
    </row>
    <row r="26" ht="15" spans="1:13">
      <c r="A26" s="6" t="s">
        <v>249</v>
      </c>
      <c r="B26">
        <f>VLOOKUP(A26:A284,Sheet1!A$2:J$260,10,0)</f>
        <v>5090</v>
      </c>
      <c r="C26" t="str">
        <f>VLOOKUP(A26:A284,Sheet1!A$2:J$260,5,0)</f>
        <v>Dead</v>
      </c>
      <c r="D26" s="7" t="s">
        <v>370</v>
      </c>
      <c r="E26">
        <v>25</v>
      </c>
      <c r="J26" s="8" t="s">
        <v>298</v>
      </c>
      <c r="M26">
        <v>0</v>
      </c>
    </row>
    <row r="27" ht="15" spans="1:13">
      <c r="A27" s="6" t="s">
        <v>306</v>
      </c>
      <c r="B27">
        <f>VLOOKUP(A27:A285,Sheet1!A$2:J$260,10,0)</f>
        <v>1399</v>
      </c>
      <c r="C27" t="str">
        <f>VLOOKUP(A27:A285,Sheet1!A$2:J$260,5,0)</f>
        <v>Alive</v>
      </c>
      <c r="D27" s="7" t="s">
        <v>370</v>
      </c>
      <c r="E27">
        <v>26</v>
      </c>
      <c r="J27" s="8" t="s">
        <v>188</v>
      </c>
      <c r="M27">
        <v>1</v>
      </c>
    </row>
    <row r="28" ht="15" spans="1:13">
      <c r="A28" s="6" t="s">
        <v>215</v>
      </c>
      <c r="B28">
        <f>VLOOKUP(A28:A286,Sheet1!A$2:J$260,10,0)</f>
        <v>738</v>
      </c>
      <c r="C28" t="str">
        <f>VLOOKUP(A28:A286,Sheet1!A$2:J$260,5,0)</f>
        <v>Dead</v>
      </c>
      <c r="D28" s="7" t="s">
        <v>370</v>
      </c>
      <c r="E28">
        <v>27</v>
      </c>
      <c r="J28" s="8" t="s">
        <v>173</v>
      </c>
      <c r="M28">
        <v>0</v>
      </c>
    </row>
    <row r="29" ht="15" spans="1:13">
      <c r="A29" s="6" t="s">
        <v>206</v>
      </c>
      <c r="B29">
        <f>VLOOKUP(A29:A287,Sheet1!A$2:J$260,10,0)</f>
        <v>1073</v>
      </c>
      <c r="C29" t="str">
        <f>VLOOKUP(A29:A287,Sheet1!A$2:J$260,5,0)</f>
        <v>Alive</v>
      </c>
      <c r="D29" s="7" t="s">
        <v>370</v>
      </c>
      <c r="E29">
        <v>28</v>
      </c>
      <c r="J29" s="8" t="s">
        <v>275</v>
      </c>
      <c r="M29">
        <v>1</v>
      </c>
    </row>
    <row r="30" ht="15" spans="1:13">
      <c r="A30" s="6" t="s">
        <v>275</v>
      </c>
      <c r="B30">
        <f>VLOOKUP(A30:A288,Sheet1!A$2:J$260,10,0)</f>
        <v>1400</v>
      </c>
      <c r="C30" t="str">
        <f>VLOOKUP(A30:A288,Sheet1!A$2:J$260,5,0)</f>
        <v>Alive</v>
      </c>
      <c r="D30" s="7" t="s">
        <v>370</v>
      </c>
      <c r="E30">
        <v>29</v>
      </c>
      <c r="J30" s="8" t="s">
        <v>326</v>
      </c>
      <c r="M30">
        <v>1</v>
      </c>
    </row>
    <row r="31" ht="15" spans="1:13">
      <c r="A31" s="6" t="s">
        <v>143</v>
      </c>
      <c r="B31">
        <f>VLOOKUP(A31:A289,Sheet1!A$2:J$260,10,0)</f>
        <v>881</v>
      </c>
      <c r="C31" t="str">
        <f>VLOOKUP(A31:A289,Sheet1!A$2:J$260,5,0)</f>
        <v>Alive</v>
      </c>
      <c r="D31" s="7" t="s">
        <v>370</v>
      </c>
      <c r="E31">
        <v>30</v>
      </c>
      <c r="J31" s="8" t="s">
        <v>340</v>
      </c>
      <c r="M31">
        <v>1</v>
      </c>
    </row>
    <row r="32" ht="15" spans="1:13">
      <c r="A32" s="6" t="s">
        <v>113</v>
      </c>
      <c r="B32">
        <f>VLOOKUP(A32:A290,Sheet1!A$2:J$260,10,0)</f>
        <v>972</v>
      </c>
      <c r="C32" t="str">
        <f>VLOOKUP(A32:A290,Sheet1!A$2:J$260,5,0)</f>
        <v>Alive</v>
      </c>
      <c r="D32" s="7" t="s">
        <v>370</v>
      </c>
      <c r="E32">
        <v>31</v>
      </c>
      <c r="J32" s="8" t="s">
        <v>99</v>
      </c>
      <c r="M32">
        <v>1</v>
      </c>
    </row>
    <row r="33" ht="15" spans="1:13">
      <c r="A33" s="6" t="s">
        <v>65</v>
      </c>
      <c r="B33">
        <f>VLOOKUP(A33:A291,Sheet1!A$2:J$260,10,0)</f>
        <v>93</v>
      </c>
      <c r="C33" t="str">
        <f>VLOOKUP(A33:A291,Sheet1!A$2:J$260,5,0)</f>
        <v>Dead</v>
      </c>
      <c r="D33" s="7" t="s">
        <v>370</v>
      </c>
      <c r="E33">
        <v>32</v>
      </c>
      <c r="J33" s="8" t="s">
        <v>134</v>
      </c>
      <c r="M33">
        <v>0</v>
      </c>
    </row>
    <row r="34" ht="15" spans="1:13">
      <c r="A34" s="6" t="s">
        <v>293</v>
      </c>
      <c r="B34">
        <f>VLOOKUP(A34:A292,Sheet1!A$2:J$260,10,0)</f>
        <v>1247</v>
      </c>
      <c r="C34" t="str">
        <f>VLOOKUP(A34:A292,Sheet1!A$2:J$260,5,0)</f>
        <v>Alive</v>
      </c>
      <c r="D34" s="7" t="s">
        <v>370</v>
      </c>
      <c r="E34">
        <v>33</v>
      </c>
      <c r="J34" s="8" t="s">
        <v>247</v>
      </c>
      <c r="M34">
        <v>1</v>
      </c>
    </row>
    <row r="35" ht="15" spans="1:13">
      <c r="A35" s="6" t="s">
        <v>277</v>
      </c>
      <c r="B35">
        <f>VLOOKUP(A35:A293,Sheet1!A$2:J$260,10,0)</f>
        <v>2381</v>
      </c>
      <c r="C35" t="str">
        <f>VLOOKUP(A35:A293,Sheet1!A$2:J$260,5,0)</f>
        <v>Alive</v>
      </c>
      <c r="D35" s="7" t="s">
        <v>370</v>
      </c>
      <c r="E35">
        <v>34</v>
      </c>
      <c r="J35" s="8" t="s">
        <v>180</v>
      </c>
      <c r="M35">
        <v>1</v>
      </c>
    </row>
    <row r="36" ht="15" spans="1:13">
      <c r="A36" s="6" t="s">
        <v>132</v>
      </c>
      <c r="B36">
        <f>VLOOKUP(A36:A294,Sheet1!A$2:J$260,10,0)</f>
        <v>2044</v>
      </c>
      <c r="C36" t="str">
        <f>VLOOKUP(A36:A294,Sheet1!A$2:J$260,5,0)</f>
        <v>Alive</v>
      </c>
      <c r="D36" s="7" t="s">
        <v>370</v>
      </c>
      <c r="E36">
        <v>35</v>
      </c>
      <c r="J36" s="8" t="s">
        <v>171</v>
      </c>
      <c r="M36">
        <v>1</v>
      </c>
    </row>
    <row r="37" ht="15" spans="1:13">
      <c r="A37" s="6" t="s">
        <v>172</v>
      </c>
      <c r="B37">
        <f>VLOOKUP(A37:A295,Sheet1!A$2:J$260,10,0)</f>
        <v>1045</v>
      </c>
      <c r="C37" t="str">
        <f>VLOOKUP(A37:A295,Sheet1!A$2:J$260,5,0)</f>
        <v>Alive</v>
      </c>
      <c r="D37" s="7" t="s">
        <v>370</v>
      </c>
      <c r="E37">
        <v>36</v>
      </c>
      <c r="J37" s="8" t="s">
        <v>322</v>
      </c>
      <c r="M37">
        <v>1</v>
      </c>
    </row>
    <row r="38" ht="15" spans="1:13">
      <c r="A38" s="6" t="s">
        <v>234</v>
      </c>
      <c r="B38">
        <f>VLOOKUP(A38:A296,Sheet1!A$2:J$260,10,0)</f>
        <v>513</v>
      </c>
      <c r="C38" t="str">
        <f>VLOOKUP(A38:A296,Sheet1!A$2:J$260,5,0)</f>
        <v>Dead</v>
      </c>
      <c r="D38" s="7" t="s">
        <v>370</v>
      </c>
      <c r="E38">
        <v>37</v>
      </c>
      <c r="J38" s="8" t="s">
        <v>174</v>
      </c>
      <c r="M38">
        <v>0</v>
      </c>
    </row>
    <row r="39" ht="15" spans="1:13">
      <c r="A39" s="6" t="s">
        <v>164</v>
      </c>
      <c r="B39">
        <f>VLOOKUP(A39:A297,Sheet1!A$2:J$260,10,0)</f>
        <v>2625</v>
      </c>
      <c r="C39" t="str">
        <f>VLOOKUP(A39:A297,Sheet1!A$2:J$260,5,0)</f>
        <v>Alive</v>
      </c>
      <c r="D39" s="7" t="s">
        <v>370</v>
      </c>
      <c r="E39">
        <v>38</v>
      </c>
      <c r="J39" s="8" t="s">
        <v>122</v>
      </c>
      <c r="M39">
        <v>1</v>
      </c>
    </row>
    <row r="40" ht="15" spans="1:13">
      <c r="A40" s="6" t="s">
        <v>258</v>
      </c>
      <c r="B40">
        <f>VLOOKUP(A40:A298,Sheet1!A$2:J$260,10,0)</f>
        <v>923</v>
      </c>
      <c r="C40" t="str">
        <f>VLOOKUP(A40:A298,Sheet1!A$2:J$260,5,0)</f>
        <v>Alive</v>
      </c>
      <c r="D40" s="7" t="s">
        <v>370</v>
      </c>
      <c r="E40">
        <v>39</v>
      </c>
      <c r="J40" s="8" t="s">
        <v>164</v>
      </c>
      <c r="M40">
        <v>1</v>
      </c>
    </row>
    <row r="41" ht="15" spans="1:13">
      <c r="A41" s="6" t="s">
        <v>254</v>
      </c>
      <c r="B41">
        <f>VLOOKUP(A41:A299,Sheet1!A$2:J$260,10,0)</f>
        <v>897</v>
      </c>
      <c r="C41" t="str">
        <f>VLOOKUP(A41:A299,Sheet1!A$2:J$260,5,0)</f>
        <v>Dead</v>
      </c>
      <c r="D41" s="7" t="s">
        <v>370</v>
      </c>
      <c r="E41">
        <v>40</v>
      </c>
      <c r="J41" s="8" t="s">
        <v>228</v>
      </c>
      <c r="M41">
        <v>0</v>
      </c>
    </row>
    <row r="42" ht="15" spans="1:13">
      <c r="A42" s="6" t="s">
        <v>205</v>
      </c>
      <c r="B42">
        <f>VLOOKUP(A42:A300,Sheet1!A$2:J$260,10,0)</f>
        <v>721</v>
      </c>
      <c r="C42" t="str">
        <f>VLOOKUP(A42:A300,Sheet1!A$2:J$260,5,0)</f>
        <v>Alive</v>
      </c>
      <c r="D42" s="7" t="s">
        <v>370</v>
      </c>
      <c r="E42">
        <v>41</v>
      </c>
      <c r="J42" s="8" t="s">
        <v>223</v>
      </c>
      <c r="M42">
        <v>1</v>
      </c>
    </row>
    <row r="43" ht="15" spans="1:13">
      <c r="A43" s="6" t="s">
        <v>155</v>
      </c>
      <c r="B43">
        <f>VLOOKUP(A43:A301,Sheet1!A$2:J$260,10,0)</f>
        <v>1885</v>
      </c>
      <c r="C43" t="str">
        <f>VLOOKUP(A43:A301,Sheet1!A$2:J$260,5,0)</f>
        <v>Alive</v>
      </c>
      <c r="D43" s="7" t="s">
        <v>370</v>
      </c>
      <c r="E43">
        <v>42</v>
      </c>
      <c r="J43" s="8" t="s">
        <v>127</v>
      </c>
      <c r="M43">
        <v>1</v>
      </c>
    </row>
    <row r="44" ht="15" spans="1:13">
      <c r="A44" s="6" t="s">
        <v>266</v>
      </c>
      <c r="B44">
        <f>VLOOKUP(A44:A302,Sheet1!A$2:J$260,10,0)</f>
        <v>1456</v>
      </c>
      <c r="C44" t="str">
        <f>VLOOKUP(A44:A302,Sheet1!A$2:J$260,5,0)</f>
        <v>Alive</v>
      </c>
      <c r="D44" s="7" t="s">
        <v>370</v>
      </c>
      <c r="E44">
        <v>43</v>
      </c>
      <c r="J44" s="8" t="s">
        <v>222</v>
      </c>
      <c r="M44">
        <v>1</v>
      </c>
    </row>
    <row r="45" ht="15" spans="1:13">
      <c r="A45" s="6" t="s">
        <v>199</v>
      </c>
      <c r="B45">
        <f>VLOOKUP(A45:A303,Sheet1!A$2:J$260,10,0)</f>
        <v>1161</v>
      </c>
      <c r="C45" t="str">
        <f>VLOOKUP(A45:A303,Sheet1!A$2:J$260,5,0)</f>
        <v>Alive</v>
      </c>
      <c r="D45" s="7" t="s">
        <v>370</v>
      </c>
      <c r="E45">
        <v>44</v>
      </c>
      <c r="J45" s="8" t="s">
        <v>172</v>
      </c>
      <c r="M45">
        <v>1</v>
      </c>
    </row>
    <row r="46" ht="15" spans="1:13">
      <c r="A46" s="6" t="s">
        <v>145</v>
      </c>
      <c r="B46">
        <f>VLOOKUP(A46:A304,Sheet1!A$2:J$260,10,0)</f>
        <v>1240</v>
      </c>
      <c r="C46" t="str">
        <f>VLOOKUP(A46:A304,Sheet1!A$2:J$260,5,0)</f>
        <v>Alive</v>
      </c>
      <c r="D46" s="7" t="s">
        <v>370</v>
      </c>
      <c r="E46">
        <v>45</v>
      </c>
      <c r="J46" s="8" t="s">
        <v>310</v>
      </c>
      <c r="M46">
        <v>1</v>
      </c>
    </row>
    <row r="47" ht="15" spans="1:13">
      <c r="A47" s="6" t="s">
        <v>192</v>
      </c>
      <c r="B47">
        <f>VLOOKUP(A47:A305,Sheet1!A$2:J$260,10,0)</f>
        <v>4573</v>
      </c>
      <c r="C47" t="str">
        <f>VLOOKUP(A47:A305,Sheet1!A$2:J$260,5,0)</f>
        <v>Alive</v>
      </c>
      <c r="D47" s="7" t="s">
        <v>370</v>
      </c>
      <c r="E47">
        <v>46</v>
      </c>
      <c r="J47" s="8" t="s">
        <v>146</v>
      </c>
      <c r="M47">
        <v>1</v>
      </c>
    </row>
    <row r="48" ht="15" spans="1:13">
      <c r="A48" s="6" t="s">
        <v>300</v>
      </c>
      <c r="B48">
        <f>VLOOKUP(A48:A306,Sheet1!A$2:J$260,10,0)</f>
        <v>1230</v>
      </c>
      <c r="C48" t="str">
        <f>VLOOKUP(A48:A306,Sheet1!A$2:J$260,5,0)</f>
        <v>Alive</v>
      </c>
      <c r="D48" s="7" t="s">
        <v>370</v>
      </c>
      <c r="E48">
        <v>47</v>
      </c>
      <c r="J48" s="8" t="s">
        <v>205</v>
      </c>
      <c r="M48">
        <v>1</v>
      </c>
    </row>
    <row r="49" ht="15" spans="1:13">
      <c r="A49" s="6" t="s">
        <v>252</v>
      </c>
      <c r="B49">
        <f>VLOOKUP(A49:A307,Sheet1!A$2:J$260,10,0)</f>
        <v>1845</v>
      </c>
      <c r="C49" t="str">
        <f>VLOOKUP(A49:A307,Sheet1!A$2:J$260,5,0)</f>
        <v>Dead</v>
      </c>
      <c r="D49" s="7" t="s">
        <v>370</v>
      </c>
      <c r="E49">
        <v>48</v>
      </c>
      <c r="J49" s="8" t="s">
        <v>206</v>
      </c>
      <c r="M49">
        <v>0</v>
      </c>
    </row>
    <row r="50" ht="15" spans="1:13">
      <c r="A50" s="6" t="s">
        <v>101</v>
      </c>
      <c r="B50">
        <f>VLOOKUP(A50:A308,Sheet1!A$2:J$260,10,0)</f>
        <v>591</v>
      </c>
      <c r="C50" t="str">
        <f>VLOOKUP(A50:A308,Sheet1!A$2:J$260,5,0)</f>
        <v>Dead</v>
      </c>
      <c r="D50" s="7" t="s">
        <v>370</v>
      </c>
      <c r="E50">
        <v>49</v>
      </c>
      <c r="J50" s="8" t="s">
        <v>85</v>
      </c>
      <c r="M50">
        <v>0</v>
      </c>
    </row>
    <row r="51" ht="15" spans="1:13">
      <c r="A51" s="6" t="s">
        <v>177</v>
      </c>
      <c r="B51">
        <f>VLOOKUP(A51:A309,Sheet1!A$2:J$260,10,0)</f>
        <v>365</v>
      </c>
      <c r="C51" t="str">
        <f>VLOOKUP(A51:A309,Sheet1!A$2:J$260,5,0)</f>
        <v>Alive</v>
      </c>
      <c r="D51" s="7" t="s">
        <v>370</v>
      </c>
      <c r="E51">
        <v>50</v>
      </c>
      <c r="J51" s="8" t="s">
        <v>50</v>
      </c>
      <c r="M51">
        <v>1</v>
      </c>
    </row>
    <row r="52" ht="15" spans="1:13">
      <c r="A52" s="6" t="s">
        <v>161</v>
      </c>
      <c r="B52">
        <f>VLOOKUP(A52:A310,Sheet1!A$2:J$260,10,0)</f>
        <v>478</v>
      </c>
      <c r="C52" t="str">
        <f>VLOOKUP(A52:A310,Sheet1!A$2:J$260,5,0)</f>
        <v>Alive</v>
      </c>
      <c r="D52" s="7" t="s">
        <v>370</v>
      </c>
      <c r="E52">
        <v>51</v>
      </c>
      <c r="J52" s="8" t="s">
        <v>184</v>
      </c>
      <c r="M52">
        <v>1</v>
      </c>
    </row>
    <row r="53" ht="15" spans="1:13">
      <c r="A53" s="6" t="s">
        <v>102</v>
      </c>
      <c r="B53">
        <f>VLOOKUP(A53:A311,Sheet1!A$2:J$260,10,0)</f>
        <v>1235</v>
      </c>
      <c r="C53" t="str">
        <f>VLOOKUP(A53:A311,Sheet1!A$2:J$260,5,0)</f>
        <v>Dead</v>
      </c>
      <c r="D53" s="7" t="s">
        <v>370</v>
      </c>
      <c r="E53">
        <v>52</v>
      </c>
      <c r="J53" s="8" t="s">
        <v>160</v>
      </c>
      <c r="M53">
        <v>0</v>
      </c>
    </row>
    <row r="54" ht="15" spans="1:13">
      <c r="A54" s="6" t="s">
        <v>106</v>
      </c>
      <c r="B54">
        <f>VLOOKUP(A54:A312,Sheet1!A$2:J$260,10,0)</f>
        <v>2007</v>
      </c>
      <c r="C54" t="str">
        <f>VLOOKUP(A54:A312,Sheet1!A$2:J$260,5,0)</f>
        <v>Alive</v>
      </c>
      <c r="D54" s="7" t="s">
        <v>370</v>
      </c>
      <c r="E54">
        <v>53</v>
      </c>
      <c r="J54" s="8" t="s">
        <v>296</v>
      </c>
      <c r="M54">
        <v>1</v>
      </c>
    </row>
    <row r="55" ht="15" spans="1:13">
      <c r="A55" s="6" t="s">
        <v>294</v>
      </c>
      <c r="B55">
        <f>VLOOKUP(A55:A313,Sheet1!A$2:J$260,10,0)</f>
        <v>2369</v>
      </c>
      <c r="C55" t="str">
        <f>VLOOKUP(A55:A313,Sheet1!A$2:J$260,5,0)</f>
        <v>Alive</v>
      </c>
      <c r="D55" s="7" t="s">
        <v>370</v>
      </c>
      <c r="E55">
        <v>54</v>
      </c>
      <c r="J55" s="8" t="s">
        <v>70</v>
      </c>
      <c r="M55">
        <v>1</v>
      </c>
    </row>
    <row r="56" ht="15" spans="1:13">
      <c r="A56" s="6" t="s">
        <v>146</v>
      </c>
      <c r="B56">
        <f>VLOOKUP(A56:A314,Sheet1!A$2:J$260,10,0)</f>
        <v>3156</v>
      </c>
      <c r="C56" t="str">
        <f>VLOOKUP(A56:A314,Sheet1!A$2:J$260,5,0)</f>
        <v>Alive</v>
      </c>
      <c r="D56" s="7" t="s">
        <v>370</v>
      </c>
      <c r="E56">
        <v>55</v>
      </c>
      <c r="J56" s="8" t="s">
        <v>266</v>
      </c>
      <c r="M56">
        <v>1</v>
      </c>
    </row>
    <row r="57" ht="15" spans="1:13">
      <c r="A57" s="6" t="s">
        <v>176</v>
      </c>
      <c r="B57">
        <f>VLOOKUP(A57:A315,Sheet1!A$2:J$260,10,0)</f>
        <v>3238</v>
      </c>
      <c r="C57" t="str">
        <f>VLOOKUP(A57:A315,Sheet1!A$2:J$260,5,0)</f>
        <v>Alive</v>
      </c>
      <c r="D57" s="7" t="s">
        <v>370</v>
      </c>
      <c r="E57">
        <v>56</v>
      </c>
      <c r="J57" s="8" t="s">
        <v>331</v>
      </c>
      <c r="M57">
        <v>1</v>
      </c>
    </row>
    <row r="58" ht="15" spans="1:13">
      <c r="A58" s="6" t="s">
        <v>147</v>
      </c>
      <c r="B58">
        <f>VLOOKUP(A58:A316,Sheet1!A$2:J$260,10,0)</f>
        <v>3102</v>
      </c>
      <c r="C58" t="str">
        <f>VLOOKUP(A58:A316,Sheet1!A$2:J$260,5,0)</f>
        <v>Alive</v>
      </c>
      <c r="D58" s="7" t="s">
        <v>370</v>
      </c>
      <c r="E58">
        <v>57</v>
      </c>
      <c r="J58" s="8" t="s">
        <v>185</v>
      </c>
      <c r="M58">
        <v>1</v>
      </c>
    </row>
    <row r="59" ht="15" spans="1:13">
      <c r="A59" s="6" t="s">
        <v>284</v>
      </c>
      <c r="B59">
        <f>VLOOKUP(A59:A317,Sheet1!A$2:J$260,10,0)</f>
        <v>928</v>
      </c>
      <c r="C59" t="str">
        <f>VLOOKUP(A59:A317,Sheet1!A$2:J$260,5,0)</f>
        <v>Alive</v>
      </c>
      <c r="D59" s="7" t="s">
        <v>370</v>
      </c>
      <c r="E59">
        <v>58</v>
      </c>
      <c r="J59" s="8" t="s">
        <v>309</v>
      </c>
      <c r="M59">
        <v>1</v>
      </c>
    </row>
    <row r="60" ht="15" spans="1:13">
      <c r="A60" s="6" t="s">
        <v>239</v>
      </c>
      <c r="B60">
        <f>VLOOKUP(A60:A318,Sheet1!A$2:J$260,10,0)</f>
        <v>2575</v>
      </c>
      <c r="C60" t="str">
        <f>VLOOKUP(A60:A318,Sheet1!A$2:J$260,5,0)</f>
        <v>Dead</v>
      </c>
      <c r="D60" s="7" t="s">
        <v>370</v>
      </c>
      <c r="E60">
        <v>59</v>
      </c>
      <c r="J60" s="8" t="s">
        <v>265</v>
      </c>
      <c r="M60">
        <v>0</v>
      </c>
    </row>
    <row r="61" ht="15" spans="1:13">
      <c r="A61" s="6" t="s">
        <v>263</v>
      </c>
      <c r="B61">
        <f>VLOOKUP(A61:A319,Sheet1!A$2:J$260,10,0)</f>
        <v>1495</v>
      </c>
      <c r="C61" t="str">
        <f>VLOOKUP(A61:A319,Sheet1!A$2:J$260,5,0)</f>
        <v>Alive</v>
      </c>
      <c r="D61" s="7" t="s">
        <v>370</v>
      </c>
      <c r="E61">
        <v>60</v>
      </c>
      <c r="J61" s="8" t="s">
        <v>141</v>
      </c>
      <c r="M61">
        <v>1</v>
      </c>
    </row>
    <row r="62" ht="15" spans="1:13">
      <c r="A62" s="6" t="s">
        <v>68</v>
      </c>
      <c r="B62">
        <f>VLOOKUP(A62:A320,Sheet1!A$2:J$260,10,0)</f>
        <v>607</v>
      </c>
      <c r="C62" t="str">
        <f>VLOOKUP(A62:A320,Sheet1!A$2:J$260,5,0)</f>
        <v>Dead</v>
      </c>
      <c r="D62" s="7" t="s">
        <v>370</v>
      </c>
      <c r="E62">
        <v>61</v>
      </c>
      <c r="J62" s="8" t="s">
        <v>327</v>
      </c>
      <c r="M62">
        <v>0</v>
      </c>
    </row>
    <row r="63" ht="15" spans="1:13">
      <c r="A63" s="6" t="s">
        <v>210</v>
      </c>
      <c r="B63">
        <f>VLOOKUP(A63:A321,Sheet1!A$2:J$260,10,0)</f>
        <v>308</v>
      </c>
      <c r="C63" t="str">
        <f>VLOOKUP(A63:A321,Sheet1!A$2:J$260,5,0)</f>
        <v>Dead</v>
      </c>
      <c r="D63" s="7" t="s">
        <v>370</v>
      </c>
      <c r="E63">
        <v>62</v>
      </c>
      <c r="J63" s="8" t="s">
        <v>196</v>
      </c>
      <c r="M63">
        <v>0</v>
      </c>
    </row>
    <row r="64" ht="15" spans="1:13">
      <c r="A64" s="6" t="s">
        <v>220</v>
      </c>
      <c r="B64">
        <f>VLOOKUP(A64:A322,Sheet1!A$2:J$260,10,0)</f>
        <v>139</v>
      </c>
      <c r="C64" t="str">
        <f>VLOOKUP(A64:A322,Sheet1!A$2:J$260,5,0)</f>
        <v>Dead</v>
      </c>
      <c r="D64" s="7" t="s">
        <v>370</v>
      </c>
      <c r="E64">
        <v>63</v>
      </c>
      <c r="J64" s="8" t="s">
        <v>33</v>
      </c>
      <c r="M64">
        <v>0</v>
      </c>
    </row>
    <row r="65" ht="15" spans="1:13">
      <c r="A65" s="6" t="s">
        <v>217</v>
      </c>
      <c r="B65">
        <f>VLOOKUP(A65:A323,Sheet1!A$2:J$260,10,0)</f>
        <v>384</v>
      </c>
      <c r="C65" t="str">
        <f>VLOOKUP(A65:A323,Sheet1!A$2:J$260,5,0)</f>
        <v>Dead</v>
      </c>
      <c r="D65" s="7" t="s">
        <v>370</v>
      </c>
      <c r="E65">
        <v>64</v>
      </c>
      <c r="J65" s="8" t="s">
        <v>135</v>
      </c>
      <c r="M65">
        <v>0</v>
      </c>
    </row>
    <row r="66" ht="15" spans="1:13">
      <c r="A66" s="6" t="s">
        <v>173</v>
      </c>
      <c r="B66">
        <f>VLOOKUP(A66:A324,Sheet1!A$2:J$260,10,0)</f>
        <v>1013</v>
      </c>
      <c r="C66" t="str">
        <f>VLOOKUP(A66:A324,Sheet1!A$2:J$260,5,0)</f>
        <v>Alive</v>
      </c>
      <c r="D66" s="7" t="s">
        <v>370</v>
      </c>
      <c r="E66">
        <v>65</v>
      </c>
      <c r="J66" s="8" t="s">
        <v>78</v>
      </c>
      <c r="M66">
        <v>1</v>
      </c>
    </row>
    <row r="67" ht="15" spans="1:13">
      <c r="A67" s="6" t="s">
        <v>282</v>
      </c>
      <c r="B67">
        <f>VLOOKUP(A67:A325,Sheet1!A$2:J$260,10,0)</f>
        <v>594</v>
      </c>
      <c r="C67" t="str">
        <f>VLOOKUP(A67:A325,Sheet1!A$2:J$260,5,0)</f>
        <v>Alive</v>
      </c>
      <c r="D67" s="7" t="s">
        <v>370</v>
      </c>
      <c r="E67">
        <v>66</v>
      </c>
      <c r="J67" s="8" t="s">
        <v>304</v>
      </c>
      <c r="M67">
        <v>1</v>
      </c>
    </row>
    <row r="68" ht="15" spans="1:13">
      <c r="A68" s="6" t="s">
        <v>261</v>
      </c>
      <c r="B68">
        <f>VLOOKUP(A68:A326,Sheet1!A$2:J$260,10,0)</f>
        <v>98</v>
      </c>
      <c r="C68" t="str">
        <f>VLOOKUP(A68:A326,Sheet1!A$2:J$260,5,0)</f>
        <v>Alive</v>
      </c>
      <c r="D68" s="7" t="s">
        <v>370</v>
      </c>
      <c r="E68">
        <v>67</v>
      </c>
      <c r="J68" s="8" t="s">
        <v>271</v>
      </c>
      <c r="M68">
        <v>1</v>
      </c>
    </row>
    <row r="69" ht="15" spans="1:13">
      <c r="A69" s="6" t="s">
        <v>97</v>
      </c>
      <c r="B69">
        <f>VLOOKUP(A69:A327,Sheet1!A$2:J$260,10,0)</f>
        <v>1129</v>
      </c>
      <c r="C69" t="str">
        <f>VLOOKUP(A69:A327,Sheet1!A$2:J$260,5,0)</f>
        <v>Dead</v>
      </c>
      <c r="D69" s="7" t="s">
        <v>370</v>
      </c>
      <c r="E69">
        <v>68</v>
      </c>
      <c r="J69" s="8" t="s">
        <v>245</v>
      </c>
      <c r="M69">
        <v>0</v>
      </c>
    </row>
    <row r="70" ht="15" spans="1:13">
      <c r="A70" s="6" t="s">
        <v>301</v>
      </c>
      <c r="B70">
        <f>VLOOKUP(A70:A328,Sheet1!A$2:J$260,10,0)</f>
        <v>4845</v>
      </c>
      <c r="C70" t="str">
        <f>VLOOKUP(A70:A328,Sheet1!A$2:J$260,5,0)</f>
        <v>Alive</v>
      </c>
      <c r="D70" s="7" t="s">
        <v>370</v>
      </c>
      <c r="E70">
        <v>69</v>
      </c>
      <c r="J70" s="8" t="s">
        <v>201</v>
      </c>
      <c r="M70">
        <v>1</v>
      </c>
    </row>
    <row r="71" ht="15" spans="1:13">
      <c r="A71" s="6" t="s">
        <v>200</v>
      </c>
      <c r="B71">
        <f>VLOOKUP(A71:A329,Sheet1!A$2:J$260,10,0)</f>
        <v>688</v>
      </c>
      <c r="C71" t="str">
        <f>VLOOKUP(A71:A329,Sheet1!A$2:J$260,5,0)</f>
        <v>Alive</v>
      </c>
      <c r="D71" s="7" t="s">
        <v>370</v>
      </c>
      <c r="E71">
        <v>70</v>
      </c>
      <c r="J71" s="8" t="s">
        <v>166</v>
      </c>
      <c r="M71">
        <v>1</v>
      </c>
    </row>
    <row r="72" ht="15" spans="1:13">
      <c r="A72" s="6" t="s">
        <v>338</v>
      </c>
      <c r="B72">
        <f>VLOOKUP(A72:A330,Sheet1!A$2:J$260,10,0)</f>
        <v>1891</v>
      </c>
      <c r="C72" t="str">
        <f>VLOOKUP(A72:A330,Sheet1!A$2:J$260,5,0)</f>
        <v>Alive</v>
      </c>
      <c r="D72" s="7" t="s">
        <v>370</v>
      </c>
      <c r="E72">
        <v>71</v>
      </c>
      <c r="J72" s="8" t="s">
        <v>217</v>
      </c>
      <c r="M72">
        <v>1</v>
      </c>
    </row>
    <row r="73" ht="15" spans="1:13">
      <c r="A73" s="6" t="s">
        <v>219</v>
      </c>
      <c r="B73">
        <f>VLOOKUP(A73:A331,Sheet1!A$2:J$260,10,0)</f>
        <v>1041</v>
      </c>
      <c r="C73" t="str">
        <f>VLOOKUP(A73:A331,Sheet1!A$2:J$260,5,0)</f>
        <v>Dead</v>
      </c>
      <c r="D73" s="7" t="s">
        <v>370</v>
      </c>
      <c r="E73">
        <v>72</v>
      </c>
      <c r="J73" s="8" t="s">
        <v>160</v>
      </c>
      <c r="M73">
        <v>0</v>
      </c>
    </row>
    <row r="74" ht="15" spans="1:13">
      <c r="A74" s="6" t="s">
        <v>72</v>
      </c>
      <c r="B74">
        <f>VLOOKUP(A74:A332,Sheet1!A$2:J$260,10,0)</f>
        <v>946</v>
      </c>
      <c r="C74" t="str">
        <f>VLOOKUP(A74:A332,Sheet1!A$2:J$260,5,0)</f>
        <v>Dead</v>
      </c>
      <c r="D74" s="7" t="s">
        <v>370</v>
      </c>
      <c r="E74">
        <v>73</v>
      </c>
      <c r="J74" s="8" t="s">
        <v>62</v>
      </c>
      <c r="M74">
        <v>0</v>
      </c>
    </row>
    <row r="75" ht="15" spans="1:13">
      <c r="A75" s="6" t="s">
        <v>259</v>
      </c>
      <c r="B75">
        <f>VLOOKUP(A75:A333,Sheet1!A$2:J$260,10,0)</f>
        <v>0</v>
      </c>
      <c r="C75" t="str">
        <f>VLOOKUP(A75:A333,Sheet1!A$2:J$260,5,0)</f>
        <v>Alive</v>
      </c>
      <c r="D75" s="7" t="s">
        <v>370</v>
      </c>
      <c r="E75">
        <v>74</v>
      </c>
      <c r="J75" s="8" t="s">
        <v>71</v>
      </c>
      <c r="M75">
        <v>1</v>
      </c>
    </row>
    <row r="76" ht="15" spans="1:13">
      <c r="A76" s="6" t="s">
        <v>187</v>
      </c>
      <c r="B76">
        <f>VLOOKUP(A76:A334,Sheet1!A$2:J$260,10,0)</f>
        <v>456</v>
      </c>
      <c r="C76" t="str">
        <f>VLOOKUP(A76:A334,Sheet1!A$2:J$260,5,0)</f>
        <v>Alive</v>
      </c>
      <c r="D76" s="7" t="s">
        <v>370</v>
      </c>
      <c r="E76">
        <v>75</v>
      </c>
      <c r="J76" s="8" t="s">
        <v>233</v>
      </c>
      <c r="M76">
        <v>1</v>
      </c>
    </row>
    <row r="77" ht="15" spans="1:13">
      <c r="A77" s="6" t="s">
        <v>298</v>
      </c>
      <c r="B77">
        <f>VLOOKUP(A77:A335,Sheet1!A$2:J$260,10,0)</f>
        <v>547</v>
      </c>
      <c r="C77" t="str">
        <f>VLOOKUP(A77:A335,Sheet1!A$2:J$260,5,0)</f>
        <v>Alive</v>
      </c>
      <c r="D77" s="7" t="s">
        <v>370</v>
      </c>
      <c r="E77">
        <v>76</v>
      </c>
      <c r="J77" s="8" t="s">
        <v>316</v>
      </c>
      <c r="M77">
        <v>1</v>
      </c>
    </row>
    <row r="78" ht="15" spans="1:13">
      <c r="A78" s="6" t="s">
        <v>224</v>
      </c>
      <c r="B78">
        <f>VLOOKUP(A78:A336,Sheet1!A$2:J$260,10,0)</f>
        <v>321</v>
      </c>
      <c r="C78" t="str">
        <f>VLOOKUP(A78:A336,Sheet1!A$2:J$260,5,0)</f>
        <v>Dead</v>
      </c>
      <c r="D78" s="7" t="s">
        <v>370</v>
      </c>
      <c r="E78">
        <v>77</v>
      </c>
      <c r="J78" s="8" t="s">
        <v>95</v>
      </c>
      <c r="M78">
        <v>0</v>
      </c>
    </row>
    <row r="79" ht="15" spans="1:13">
      <c r="A79" s="6" t="s">
        <v>244</v>
      </c>
      <c r="B79">
        <f>VLOOKUP(A79:A337,Sheet1!A$2:J$260,10,0)</f>
        <v>193</v>
      </c>
      <c r="C79" t="str">
        <f>VLOOKUP(A79:A337,Sheet1!A$2:J$260,5,0)</f>
        <v>Dead</v>
      </c>
      <c r="D79" s="7" t="s">
        <v>370</v>
      </c>
      <c r="E79">
        <v>78</v>
      </c>
      <c r="J79" s="8" t="s">
        <v>126</v>
      </c>
      <c r="M79">
        <v>0</v>
      </c>
    </row>
    <row r="80" ht="15" spans="1:13">
      <c r="A80" s="6" t="s">
        <v>257</v>
      </c>
      <c r="B80">
        <f>VLOOKUP(A80:A338,Sheet1!A$2:J$260,10,0)</f>
        <v>2464</v>
      </c>
      <c r="C80" t="str">
        <f>VLOOKUP(A80:A338,Sheet1!A$2:J$260,5,0)</f>
        <v>Dead</v>
      </c>
      <c r="D80" s="7" t="s">
        <v>370</v>
      </c>
      <c r="E80">
        <v>79</v>
      </c>
      <c r="J80" s="8" t="s">
        <v>200</v>
      </c>
      <c r="M80">
        <v>0</v>
      </c>
    </row>
    <row r="81" ht="15" spans="1:13">
      <c r="A81" s="6" t="s">
        <v>180</v>
      </c>
      <c r="B81">
        <f>VLOOKUP(A81:A339,Sheet1!A$2:J$260,10,0)</f>
        <v>813</v>
      </c>
      <c r="C81" t="str">
        <f>VLOOKUP(A81:A339,Sheet1!A$2:J$260,5,0)</f>
        <v>Alive</v>
      </c>
      <c r="D81" s="7" t="s">
        <v>370</v>
      </c>
      <c r="E81">
        <v>80</v>
      </c>
      <c r="J81" s="8" t="s">
        <v>187</v>
      </c>
      <c r="M81">
        <v>1</v>
      </c>
    </row>
    <row r="82" ht="15" spans="1:13">
      <c r="A82" s="6" t="s">
        <v>126</v>
      </c>
      <c r="B82">
        <f>VLOOKUP(A82:A340,Sheet1!A$2:J$260,10,0)</f>
        <v>637</v>
      </c>
      <c r="C82" t="str">
        <f>VLOOKUP(A82:A340,Sheet1!A$2:J$260,5,0)</f>
        <v>Alive</v>
      </c>
      <c r="D82" s="7" t="s">
        <v>370</v>
      </c>
      <c r="E82">
        <v>81</v>
      </c>
      <c r="J82" s="8" t="s">
        <v>115</v>
      </c>
      <c r="M82">
        <v>1</v>
      </c>
    </row>
    <row r="83" ht="15" spans="1:13">
      <c r="A83" s="6" t="s">
        <v>98</v>
      </c>
      <c r="B83">
        <f>VLOOKUP(A83:A341,Sheet1!A$2:J$260,10,0)</f>
        <v>1424</v>
      </c>
      <c r="C83" t="str">
        <f>VLOOKUP(A83:A341,Sheet1!A$2:J$260,5,0)</f>
        <v>Dead</v>
      </c>
      <c r="D83" s="7" t="s">
        <v>370</v>
      </c>
      <c r="E83">
        <v>82</v>
      </c>
      <c r="J83" s="8" t="s">
        <v>237</v>
      </c>
      <c r="M83">
        <v>0</v>
      </c>
    </row>
    <row r="84" ht="15" spans="1:13">
      <c r="A84" s="6" t="s">
        <v>56</v>
      </c>
      <c r="B84">
        <f>VLOOKUP(A84:A342,Sheet1!A$2:J$260,10,0)</f>
        <v>1478</v>
      </c>
      <c r="C84" t="str">
        <f>VLOOKUP(A84:A342,Sheet1!A$2:J$260,5,0)</f>
        <v>Dead</v>
      </c>
      <c r="D84" s="7" t="s">
        <v>370</v>
      </c>
      <c r="E84">
        <v>83</v>
      </c>
      <c r="J84" s="8" t="s">
        <v>321</v>
      </c>
      <c r="M84">
        <v>0</v>
      </c>
    </row>
    <row r="85" ht="15" spans="1:13">
      <c r="A85" s="6" t="s">
        <v>174</v>
      </c>
      <c r="B85">
        <f>VLOOKUP(A85:A343,Sheet1!A$2:J$260,10,0)</f>
        <v>3964</v>
      </c>
      <c r="C85" t="str">
        <f>VLOOKUP(A85:A343,Sheet1!A$2:J$260,5,0)</f>
        <v>Alive</v>
      </c>
      <c r="D85" s="7" t="s">
        <v>370</v>
      </c>
      <c r="E85">
        <v>84</v>
      </c>
      <c r="J85" s="8" t="s">
        <v>96</v>
      </c>
      <c r="M85">
        <v>1</v>
      </c>
    </row>
    <row r="86" ht="15" spans="1:13">
      <c r="A86" s="6" t="s">
        <v>240</v>
      </c>
      <c r="B86">
        <f>VLOOKUP(A86:A344,Sheet1!A$2:J$260,10,0)</f>
        <v>3862</v>
      </c>
      <c r="C86" t="str">
        <f>VLOOKUP(A86:A344,Sheet1!A$2:J$260,5,0)</f>
        <v>Dead</v>
      </c>
      <c r="D86" s="7" t="s">
        <v>370</v>
      </c>
      <c r="E86">
        <v>85</v>
      </c>
      <c r="J86" s="8" t="s">
        <v>253</v>
      </c>
      <c r="M86">
        <v>0</v>
      </c>
    </row>
    <row r="87" ht="15" spans="1:13">
      <c r="A87" s="6" t="s">
        <v>255</v>
      </c>
      <c r="B87">
        <f>VLOOKUP(A87:A345,Sheet1!A$2:J$260,10,0)</f>
        <v>320</v>
      </c>
      <c r="C87" t="str">
        <f>VLOOKUP(A87:A345,Sheet1!A$2:J$260,5,0)</f>
        <v>Dead</v>
      </c>
      <c r="D87" s="7" t="s">
        <v>370</v>
      </c>
      <c r="E87">
        <v>86</v>
      </c>
      <c r="J87" s="8" t="s">
        <v>339</v>
      </c>
      <c r="M87">
        <v>0</v>
      </c>
    </row>
    <row r="88" ht="15" spans="1:13">
      <c r="A88" s="6" t="s">
        <v>280</v>
      </c>
      <c r="B88">
        <f>VLOOKUP(A88:A346,Sheet1!A$2:J$260,10,0)</f>
        <v>22</v>
      </c>
      <c r="C88" t="str">
        <f>VLOOKUP(A88:A346,Sheet1!A$2:J$260,5,0)</f>
        <v>Alive</v>
      </c>
      <c r="D88" s="7" t="s">
        <v>370</v>
      </c>
      <c r="E88">
        <v>87</v>
      </c>
      <c r="J88" s="8" t="s">
        <v>317</v>
      </c>
      <c r="M88">
        <v>1</v>
      </c>
    </row>
    <row r="89" ht="15" spans="1:13">
      <c r="A89" s="6" t="s">
        <v>292</v>
      </c>
      <c r="B89">
        <f>VLOOKUP(A89:A347,Sheet1!A$2:J$260,10,0)</f>
        <v>510</v>
      </c>
      <c r="C89" t="str">
        <f>VLOOKUP(A89:A347,Sheet1!A$2:J$260,5,0)</f>
        <v>Alive</v>
      </c>
      <c r="D89" s="7" t="s">
        <v>370</v>
      </c>
      <c r="E89">
        <v>88</v>
      </c>
      <c r="J89" s="8" t="s">
        <v>193</v>
      </c>
      <c r="M89">
        <v>1</v>
      </c>
    </row>
    <row r="90" ht="15" spans="1:13">
      <c r="A90" s="6" t="s">
        <v>128</v>
      </c>
      <c r="B90">
        <f>VLOOKUP(A90:A348,Sheet1!A$2:J$260,10,0)</f>
        <v>576</v>
      </c>
      <c r="C90" t="str">
        <f>VLOOKUP(A90:A348,Sheet1!A$2:J$260,5,0)</f>
        <v>Alive</v>
      </c>
      <c r="D90" s="7" t="s">
        <v>370</v>
      </c>
      <c r="E90">
        <v>89</v>
      </c>
      <c r="J90" s="8" t="s">
        <v>129</v>
      </c>
      <c r="M90">
        <v>1</v>
      </c>
    </row>
    <row r="91" ht="15" spans="1:13">
      <c r="A91" s="6" t="s">
        <v>302</v>
      </c>
      <c r="B91">
        <f>VLOOKUP(A91:A349,Sheet1!A$2:J$260,10,0)</f>
        <v>771</v>
      </c>
      <c r="C91" t="str">
        <f>VLOOKUP(A91:A349,Sheet1!A$2:J$260,5,0)</f>
        <v>Alive</v>
      </c>
      <c r="D91" s="7" t="s">
        <v>370</v>
      </c>
      <c r="E91">
        <v>90</v>
      </c>
      <c r="J91" s="8" t="s">
        <v>161</v>
      </c>
      <c r="M91">
        <v>1</v>
      </c>
    </row>
    <row r="92" ht="15" spans="1:13">
      <c r="A92" s="6" t="s">
        <v>170</v>
      </c>
      <c r="B92">
        <f>VLOOKUP(A92:A350,Sheet1!A$2:J$260,10,0)</f>
        <v>326</v>
      </c>
      <c r="C92" t="str">
        <f>VLOOKUP(A92:A350,Sheet1!A$2:J$260,5,0)</f>
        <v>Alive</v>
      </c>
      <c r="D92" s="7" t="s">
        <v>370</v>
      </c>
      <c r="E92">
        <v>91</v>
      </c>
      <c r="J92" s="8" t="s">
        <v>39</v>
      </c>
      <c r="M92">
        <v>1</v>
      </c>
    </row>
    <row r="93" ht="15" spans="1:13">
      <c r="A93" s="6" t="s">
        <v>85</v>
      </c>
      <c r="B93">
        <f>VLOOKUP(A93:A352,Sheet1!A$2:J$260,10,0)</f>
        <v>146</v>
      </c>
      <c r="C93" t="str">
        <f>VLOOKUP(A93:A352,Sheet1!A$2:J$260,5,0)</f>
        <v>Dead</v>
      </c>
      <c r="D93" s="7" t="s">
        <v>370</v>
      </c>
      <c r="E93">
        <v>92</v>
      </c>
      <c r="J93" s="8" t="s">
        <v>320</v>
      </c>
      <c r="M93">
        <v>0</v>
      </c>
    </row>
    <row r="94" ht="15" spans="1:13">
      <c r="A94" s="6" t="s">
        <v>42</v>
      </c>
      <c r="B94">
        <f>VLOOKUP(A94:A353,Sheet1!A$2:J$260,10,0)</f>
        <v>1164</v>
      </c>
      <c r="C94" t="str">
        <f>VLOOKUP(A94:A353,Sheet1!A$2:J$260,5,0)</f>
        <v>Dead</v>
      </c>
      <c r="D94" s="7" t="s">
        <v>370</v>
      </c>
      <c r="E94">
        <v>93</v>
      </c>
      <c r="J94" s="8" t="s">
        <v>65</v>
      </c>
      <c r="M94">
        <v>0</v>
      </c>
    </row>
    <row r="95" ht="15" spans="1:13">
      <c r="A95" s="6" t="s">
        <v>237</v>
      </c>
      <c r="B95">
        <f>VLOOKUP(A95:A354,Sheet1!A$2:J$260,10,0)</f>
        <v>1991</v>
      </c>
      <c r="C95" t="str">
        <f>VLOOKUP(A95:A354,Sheet1!A$2:J$260,5,0)</f>
        <v>Dead</v>
      </c>
      <c r="D95" s="7" t="s">
        <v>370</v>
      </c>
      <c r="E95">
        <v>94</v>
      </c>
      <c r="J95" s="8" t="s">
        <v>301</v>
      </c>
      <c r="M95">
        <v>0</v>
      </c>
    </row>
    <row r="96" ht="15" spans="1:13">
      <c r="A96" s="6" t="s">
        <v>233</v>
      </c>
      <c r="B96">
        <f>VLOOKUP(A96:A355,Sheet1!A$2:J$260,10,0)</f>
        <v>688</v>
      </c>
      <c r="C96" t="str">
        <f>VLOOKUP(A96:A355,Sheet1!A$2:J$260,5,0)</f>
        <v>Dead</v>
      </c>
      <c r="D96" s="7" t="s">
        <v>370</v>
      </c>
      <c r="E96">
        <v>95</v>
      </c>
      <c r="J96" s="8" t="s">
        <v>199</v>
      </c>
      <c r="M96">
        <v>0</v>
      </c>
    </row>
    <row r="97" ht="15" spans="1:13">
      <c r="A97" s="6" t="s">
        <v>136</v>
      </c>
      <c r="B97">
        <f>VLOOKUP(A97:A356,Sheet1!A$2:J$260,10,0)</f>
        <v>261</v>
      </c>
      <c r="C97" t="str">
        <f>VLOOKUP(A97:A356,Sheet1!A$2:J$260,5,0)</f>
        <v>Dead</v>
      </c>
      <c r="D97" s="7" t="s">
        <v>370</v>
      </c>
      <c r="E97">
        <v>96</v>
      </c>
      <c r="J97" s="8" t="s">
        <v>186</v>
      </c>
      <c r="M97">
        <v>0</v>
      </c>
    </row>
    <row r="98" ht="15" spans="1:13">
      <c r="A98" s="6" t="s">
        <v>251</v>
      </c>
      <c r="B98">
        <f>VLOOKUP(A98:A357,Sheet1!A$2:J$260,10,0)</f>
        <v>24</v>
      </c>
      <c r="C98" t="str">
        <f>VLOOKUP(A98:A357,Sheet1!A$2:J$260,5,0)</f>
        <v>Dead</v>
      </c>
      <c r="D98" s="7" t="s">
        <v>370</v>
      </c>
      <c r="E98">
        <v>97</v>
      </c>
      <c r="J98" s="8" t="s">
        <v>252</v>
      </c>
      <c r="M98">
        <v>0</v>
      </c>
    </row>
    <row r="99" ht="15" spans="1:13">
      <c r="A99" s="6" t="s">
        <v>179</v>
      </c>
      <c r="B99">
        <f>VLOOKUP(A99:A358,Sheet1!A$2:J$260,10,0)</f>
        <v>1379</v>
      </c>
      <c r="C99" t="str">
        <f>VLOOKUP(A99:A358,Sheet1!A$2:J$260,5,0)</f>
        <v>Alive</v>
      </c>
      <c r="D99" s="7" t="s">
        <v>370</v>
      </c>
      <c r="E99">
        <v>98</v>
      </c>
      <c r="J99" s="8" t="s">
        <v>299</v>
      </c>
      <c r="M99">
        <v>1</v>
      </c>
    </row>
    <row r="100" ht="15" spans="1:13">
      <c r="A100" s="6" t="s">
        <v>103</v>
      </c>
      <c r="B100">
        <f>VLOOKUP(A100:A359,Sheet1!A$2:J$260,10,0)</f>
        <v>583</v>
      </c>
      <c r="C100" t="str">
        <f>VLOOKUP(A100:A359,Sheet1!A$2:J$260,5,0)</f>
        <v>Alive</v>
      </c>
      <c r="D100" s="7" t="s">
        <v>370</v>
      </c>
      <c r="E100">
        <v>99</v>
      </c>
      <c r="J100" s="8" t="s">
        <v>334</v>
      </c>
      <c r="M100">
        <v>1</v>
      </c>
    </row>
    <row r="101" ht="15" spans="1:13">
      <c r="A101" s="6" t="s">
        <v>218</v>
      </c>
      <c r="B101">
        <f>VLOOKUP(A101:A360,Sheet1!A$2:J$260,10,0)</f>
        <v>1140</v>
      </c>
      <c r="C101" t="str">
        <f>VLOOKUP(A101:A360,Sheet1!A$2:J$260,5,0)</f>
        <v>Dead</v>
      </c>
      <c r="D101" s="7" t="s">
        <v>370</v>
      </c>
      <c r="E101">
        <v>100</v>
      </c>
      <c r="J101" s="8" t="s">
        <v>335</v>
      </c>
      <c r="M101">
        <v>0</v>
      </c>
    </row>
    <row r="102" ht="15" spans="1:13">
      <c r="A102" s="6" t="s">
        <v>50</v>
      </c>
      <c r="B102">
        <f>VLOOKUP(A102:A361,Sheet1!A$2:J$260,10,0)</f>
        <v>1816</v>
      </c>
      <c r="C102" t="str">
        <f>VLOOKUP(A102:A361,Sheet1!A$2:J$260,5,0)</f>
        <v>Dead</v>
      </c>
      <c r="D102" s="7" t="s">
        <v>370</v>
      </c>
      <c r="E102">
        <v>101</v>
      </c>
      <c r="J102" s="8" t="s">
        <v>306</v>
      </c>
      <c r="M102">
        <v>0</v>
      </c>
    </row>
    <row r="103" ht="15" spans="1:13">
      <c r="A103" s="6" t="s">
        <v>121</v>
      </c>
      <c r="B103">
        <f>VLOOKUP(A103:A362,Sheet1!A$2:J$260,10,0)</f>
        <v>486</v>
      </c>
      <c r="C103" t="str">
        <f>VLOOKUP(A103:A362,Sheet1!A$2:J$260,5,0)</f>
        <v>Alive</v>
      </c>
      <c r="D103" s="7" t="s">
        <v>370</v>
      </c>
      <c r="E103">
        <v>102</v>
      </c>
      <c r="J103" s="8" t="s">
        <v>255</v>
      </c>
      <c r="M103">
        <v>1</v>
      </c>
    </row>
    <row r="104" ht="15" spans="1:13">
      <c r="A104" s="9" t="s">
        <v>79</v>
      </c>
      <c r="B104">
        <f>VLOOKUP(A104:A363,Sheet1!A$2:J$260,10,0)</f>
        <v>2324</v>
      </c>
      <c r="C104" t="str">
        <f>VLOOKUP(A104:A363,Sheet1!A$2:J$260,5,0)</f>
        <v>Dead</v>
      </c>
      <c r="D104" s="7" t="s">
        <v>372</v>
      </c>
      <c r="E104">
        <v>103</v>
      </c>
      <c r="J104" s="8" t="s">
        <v>35</v>
      </c>
      <c r="M104">
        <v>0</v>
      </c>
    </row>
    <row r="105" ht="15" spans="1:13">
      <c r="A105" s="6" t="s">
        <v>207</v>
      </c>
      <c r="B105">
        <f>VLOOKUP(A105:A364,Sheet1!A$2:J$260,10,0)</f>
        <v>1834</v>
      </c>
      <c r="C105" t="str">
        <f>VLOOKUP(A105:A364,Sheet1!A$2:J$260,5,0)</f>
        <v>Alive</v>
      </c>
      <c r="D105" s="7" t="s">
        <v>372</v>
      </c>
      <c r="E105">
        <v>104</v>
      </c>
      <c r="J105" s="8" t="s">
        <v>256</v>
      </c>
      <c r="M105">
        <v>1</v>
      </c>
    </row>
    <row r="106" ht="15" spans="1:13">
      <c r="A106" s="6" t="s">
        <v>139</v>
      </c>
      <c r="B106">
        <f>VLOOKUP(A106:A365,Sheet1!A$2:J$260,10,0)</f>
        <v>1359</v>
      </c>
      <c r="C106" t="str">
        <f>VLOOKUP(A106:A365,Sheet1!A$2:J$260,5,0)</f>
        <v>Alive</v>
      </c>
      <c r="D106" s="7" t="s">
        <v>372</v>
      </c>
      <c r="E106">
        <v>105</v>
      </c>
      <c r="J106" s="8" t="s">
        <v>37</v>
      </c>
      <c r="M106">
        <v>1</v>
      </c>
    </row>
    <row r="107" ht="15" spans="1:13">
      <c r="A107" s="6" t="s">
        <v>241</v>
      </c>
      <c r="B107">
        <f>VLOOKUP(A107:A366,Sheet1!A$2:J$260,10,0)</f>
        <v>325</v>
      </c>
      <c r="C107" t="str">
        <f>VLOOKUP(A107:A366,Sheet1!A$2:J$260,5,0)</f>
        <v>Dead</v>
      </c>
      <c r="D107" s="7" t="s">
        <v>372</v>
      </c>
      <c r="E107">
        <v>106</v>
      </c>
      <c r="J107" s="8" t="s">
        <v>268</v>
      </c>
      <c r="M107">
        <v>0</v>
      </c>
    </row>
    <row r="108" ht="15" spans="1:13">
      <c r="A108" s="6" t="s">
        <v>95</v>
      </c>
      <c r="B108">
        <f>VLOOKUP(A108:A367,Sheet1!A$2:J$260,10,0)</f>
        <v>485</v>
      </c>
      <c r="C108" t="str">
        <f>VLOOKUP(A108:A367,Sheet1!A$2:J$260,5,0)</f>
        <v>Dead</v>
      </c>
      <c r="D108" s="7" t="s">
        <v>372</v>
      </c>
      <c r="E108">
        <v>107</v>
      </c>
      <c r="J108" s="8" t="s">
        <v>41</v>
      </c>
      <c r="M108">
        <v>0</v>
      </c>
    </row>
    <row r="109" ht="15" spans="1:13">
      <c r="A109" s="6" t="s">
        <v>286</v>
      </c>
      <c r="B109">
        <f>VLOOKUP(A109:A368,Sheet1!A$2:J$260,10,0)</f>
        <v>821</v>
      </c>
      <c r="C109" t="str">
        <f>VLOOKUP(A109:A368,Sheet1!A$2:J$260,5,0)</f>
        <v>Alive</v>
      </c>
      <c r="D109" s="7" t="s">
        <v>372</v>
      </c>
      <c r="E109">
        <v>108</v>
      </c>
      <c r="J109" s="8" t="s">
        <v>258</v>
      </c>
      <c r="M109">
        <v>1</v>
      </c>
    </row>
    <row r="110" ht="15" spans="1:13">
      <c r="A110" s="6" t="s">
        <v>93</v>
      </c>
      <c r="B110">
        <f>VLOOKUP(A110:A369,Sheet1!A$2:J$260,10,0)</f>
        <v>1536</v>
      </c>
      <c r="C110" t="str">
        <f>VLOOKUP(A110:A369,Sheet1!A$2:J$260,5,0)</f>
        <v>Dead</v>
      </c>
      <c r="D110" s="7" t="s">
        <v>372</v>
      </c>
      <c r="E110">
        <v>109</v>
      </c>
      <c r="J110" s="8" t="s">
        <v>226</v>
      </c>
      <c r="M110">
        <v>0</v>
      </c>
    </row>
    <row r="111" ht="15" spans="1:13">
      <c r="A111" s="6" t="s">
        <v>212</v>
      </c>
      <c r="B111">
        <f>VLOOKUP(A111:A370,Sheet1!A$2:J$260,10,0)</f>
        <v>570</v>
      </c>
      <c r="C111" t="str">
        <f>VLOOKUP(A111:A370,Sheet1!A$2:J$260,5,0)</f>
        <v>Dead</v>
      </c>
      <c r="D111" s="7" t="s">
        <v>372</v>
      </c>
      <c r="E111">
        <v>110</v>
      </c>
      <c r="J111" s="8" t="s">
        <v>36</v>
      </c>
      <c r="M111">
        <v>0</v>
      </c>
    </row>
    <row r="112" ht="15" spans="1:13">
      <c r="A112" s="6" t="s">
        <v>96</v>
      </c>
      <c r="B112">
        <f>VLOOKUP(A112:A371,Sheet1!A$2:J$260,10,0)</f>
        <v>284</v>
      </c>
      <c r="C112" t="str">
        <f>VLOOKUP(A112:A371,Sheet1!A$2:J$260,5,0)</f>
        <v>Dead</v>
      </c>
      <c r="D112" s="7" t="s">
        <v>372</v>
      </c>
      <c r="E112">
        <v>111</v>
      </c>
      <c r="J112" s="8" t="s">
        <v>197</v>
      </c>
      <c r="M112">
        <v>0</v>
      </c>
    </row>
    <row r="113" ht="15" spans="1:13">
      <c r="A113" s="6" t="s">
        <v>75</v>
      </c>
      <c r="B113">
        <f>VLOOKUP(A113:A372,Sheet1!A$2:J$260,10,0)</f>
        <v>850</v>
      </c>
      <c r="C113" t="str">
        <f>VLOOKUP(A113:A372,Sheet1!A$2:J$260,5,0)</f>
        <v>Dead</v>
      </c>
      <c r="D113" s="7" t="s">
        <v>372</v>
      </c>
      <c r="E113">
        <v>112</v>
      </c>
      <c r="J113" s="8" t="s">
        <v>176</v>
      </c>
      <c r="M113">
        <v>0</v>
      </c>
    </row>
    <row r="114" ht="15" spans="1:13">
      <c r="A114" s="6" t="s">
        <v>232</v>
      </c>
      <c r="B114">
        <f>VLOOKUP(A114:A373,Sheet1!A$2:J$260,10,0)</f>
        <v>200</v>
      </c>
      <c r="C114" t="str">
        <f>VLOOKUP(A114:A373,Sheet1!A$2:J$260,5,0)</f>
        <v>Dead</v>
      </c>
      <c r="D114" s="7" t="s">
        <v>372</v>
      </c>
      <c r="E114">
        <v>113</v>
      </c>
      <c r="J114" s="8" t="s">
        <v>54</v>
      </c>
      <c r="M114">
        <v>0</v>
      </c>
    </row>
    <row r="115" ht="15" spans="1:13">
      <c r="A115" s="6" t="s">
        <v>216</v>
      </c>
      <c r="B115">
        <f>VLOOKUP(A115:A374,Sheet1!A$2:J$260,10,0)</f>
        <v>35</v>
      </c>
      <c r="C115" t="str">
        <f>VLOOKUP(A115:A374,Sheet1!A$2:J$260,5,0)</f>
        <v>Dead</v>
      </c>
      <c r="D115" s="7" t="s">
        <v>372</v>
      </c>
      <c r="E115">
        <v>114</v>
      </c>
      <c r="J115" s="8" t="s">
        <v>240</v>
      </c>
      <c r="M115">
        <v>0</v>
      </c>
    </row>
    <row r="116" ht="15" spans="1:13">
      <c r="A116" s="6" t="s">
        <v>273</v>
      </c>
      <c r="B116">
        <f>VLOOKUP(A116:A375,Sheet1!A$2:J$260,10,0)</f>
        <v>541</v>
      </c>
      <c r="C116" t="str">
        <f>VLOOKUP(A116:A375,Sheet1!A$2:J$260,5,0)</f>
        <v>Alive</v>
      </c>
      <c r="D116" s="7" t="s">
        <v>372</v>
      </c>
      <c r="E116">
        <v>115</v>
      </c>
      <c r="J116" s="8" t="s">
        <v>330</v>
      </c>
      <c r="M116">
        <v>1</v>
      </c>
    </row>
    <row r="117" ht="15" spans="1:13">
      <c r="A117" s="6" t="s">
        <v>127</v>
      </c>
      <c r="B117">
        <f>VLOOKUP(A117:A376,Sheet1!A$2:J$260,10,0)</f>
        <v>482</v>
      </c>
      <c r="C117" t="str">
        <f>VLOOKUP(A117:A376,Sheet1!A$2:J$260,5,0)</f>
        <v>Alive</v>
      </c>
      <c r="D117" s="7" t="s">
        <v>372</v>
      </c>
      <c r="E117">
        <v>116</v>
      </c>
      <c r="J117" s="8" t="s">
        <v>144</v>
      </c>
      <c r="M117">
        <v>1</v>
      </c>
    </row>
    <row r="118" ht="15" spans="1:13">
      <c r="A118" s="6" t="s">
        <v>211</v>
      </c>
      <c r="B118">
        <f>VLOOKUP(A118:A377,Sheet1!A$2:J$260,10,0)</f>
        <v>367</v>
      </c>
      <c r="C118" t="str">
        <f>VLOOKUP(A118:A377,Sheet1!A$2:J$260,5,0)</f>
        <v>Dead</v>
      </c>
      <c r="D118" s="7" t="s">
        <v>372</v>
      </c>
      <c r="E118">
        <v>117</v>
      </c>
      <c r="J118" s="8" t="s">
        <v>190</v>
      </c>
      <c r="M118">
        <v>0</v>
      </c>
    </row>
    <row r="119" ht="15" spans="1:13">
      <c r="A119" s="6" t="s">
        <v>330</v>
      </c>
      <c r="B119">
        <f>VLOOKUP(A119:A378,Sheet1!A$2:J$260,10,0)</f>
        <v>2030</v>
      </c>
      <c r="C119" t="str">
        <f>VLOOKUP(A119:A378,Sheet1!A$2:J$260,5,0)</f>
        <v>Alive</v>
      </c>
      <c r="D119" s="7" t="s">
        <v>372</v>
      </c>
      <c r="E119">
        <v>118</v>
      </c>
      <c r="J119" s="8" t="s">
        <v>130</v>
      </c>
      <c r="M119">
        <v>1</v>
      </c>
    </row>
    <row r="120" ht="15" spans="1:13">
      <c r="A120" s="6" t="s">
        <v>54</v>
      </c>
      <c r="B120">
        <f>VLOOKUP(A120:A379,Sheet1!A$2:J$260,10,0)</f>
        <v>404</v>
      </c>
      <c r="C120" t="str">
        <f>VLOOKUP(A120:A379,Sheet1!A$2:J$260,5,0)</f>
        <v>Dead</v>
      </c>
      <c r="D120" s="7" t="s">
        <v>372</v>
      </c>
      <c r="E120">
        <v>119</v>
      </c>
      <c r="J120" s="8" t="s">
        <v>269</v>
      </c>
      <c r="M120">
        <v>0</v>
      </c>
    </row>
    <row r="121" ht="15" spans="1:13">
      <c r="A121" s="6" t="s">
        <v>238</v>
      </c>
      <c r="B121">
        <f>VLOOKUP(A121:A380,Sheet1!A$2:J$260,10,0)</f>
        <v>695</v>
      </c>
      <c r="C121" t="str">
        <f>VLOOKUP(A121:A380,Sheet1!A$2:J$260,5,0)</f>
        <v>Dead</v>
      </c>
      <c r="D121" s="7" t="s">
        <v>372</v>
      </c>
      <c r="E121">
        <v>120</v>
      </c>
      <c r="J121" s="8" t="s">
        <v>277</v>
      </c>
      <c r="M121">
        <v>0</v>
      </c>
    </row>
    <row r="122" ht="15" spans="1:13">
      <c r="A122" s="6" t="s">
        <v>193</v>
      </c>
      <c r="B122">
        <f>VLOOKUP(A122:A381,Sheet1!A$2:J$260,10,0)</f>
        <v>660</v>
      </c>
      <c r="C122" t="str">
        <f>VLOOKUP(A122:A381,Sheet1!A$2:J$260,5,0)</f>
        <v>Alive</v>
      </c>
      <c r="D122" s="7" t="s">
        <v>372</v>
      </c>
      <c r="E122">
        <v>121</v>
      </c>
      <c r="J122" s="8" t="s">
        <v>156</v>
      </c>
      <c r="M122">
        <v>1</v>
      </c>
    </row>
    <row r="123" ht="15" spans="1:13">
      <c r="A123" s="6" t="s">
        <v>317</v>
      </c>
      <c r="B123">
        <f>VLOOKUP(A123:A382,Sheet1!A$2:J$260,10,0)</f>
        <v>2057</v>
      </c>
      <c r="C123" t="str">
        <f>VLOOKUP(A123:A382,Sheet1!A$2:J$260,5,0)</f>
        <v>Alive</v>
      </c>
      <c r="D123" s="7" t="s">
        <v>372</v>
      </c>
      <c r="E123">
        <v>122</v>
      </c>
      <c r="J123" s="8" t="s">
        <v>40</v>
      </c>
      <c r="M123">
        <v>1</v>
      </c>
    </row>
    <row r="124" ht="15" spans="1:13">
      <c r="A124" s="6" t="s">
        <v>27</v>
      </c>
      <c r="B124">
        <f>VLOOKUP(A124:A383,Sheet1!A$2:J$260,10,0)</f>
        <v>1922</v>
      </c>
      <c r="C124" t="str">
        <f>VLOOKUP(A124:A383,Sheet1!A$2:J$260,5,0)</f>
        <v>Dead</v>
      </c>
      <c r="D124" s="7" t="s">
        <v>372</v>
      </c>
      <c r="E124">
        <v>123</v>
      </c>
      <c r="J124" s="8" t="s">
        <v>280</v>
      </c>
      <c r="M124">
        <v>0</v>
      </c>
    </row>
    <row r="125" ht="15" spans="1:13">
      <c r="A125" s="6" t="s">
        <v>134</v>
      </c>
      <c r="B125">
        <f>VLOOKUP(A125:A384,Sheet1!A$2:J$260,10,0)</f>
        <v>1585</v>
      </c>
      <c r="C125" t="str">
        <f>VLOOKUP(A125:A384,Sheet1!A$2:J$260,5,0)</f>
        <v>Alive</v>
      </c>
      <c r="D125" s="7" t="s">
        <v>372</v>
      </c>
      <c r="E125">
        <v>124</v>
      </c>
      <c r="J125" s="8" t="s">
        <v>168</v>
      </c>
      <c r="M125">
        <v>1</v>
      </c>
    </row>
    <row r="126" ht="15" spans="1:13">
      <c r="A126" s="6" t="s">
        <v>14</v>
      </c>
      <c r="B126">
        <f>VLOOKUP(A126:A385,Sheet1!A$2:J$260,10,0)</f>
        <v>180</v>
      </c>
      <c r="C126" t="str">
        <f>VLOOKUP(A126:A385,Sheet1!A$2:J$260,5,0)</f>
        <v>Dead</v>
      </c>
      <c r="D126" s="7" t="s">
        <v>372</v>
      </c>
      <c r="E126">
        <v>125</v>
      </c>
      <c r="J126" s="8" t="s">
        <v>90</v>
      </c>
      <c r="M126">
        <v>0</v>
      </c>
    </row>
    <row r="127" ht="15" spans="1:13">
      <c r="A127" s="6" t="s">
        <v>81</v>
      </c>
      <c r="B127">
        <f>VLOOKUP(A127:A386,Sheet1!A$2:J$260,10,0)</f>
        <v>32</v>
      </c>
      <c r="C127" t="str">
        <f>VLOOKUP(A127:A386,Sheet1!A$2:J$260,5,0)</f>
        <v>Dead</v>
      </c>
      <c r="D127" s="7" t="s">
        <v>372</v>
      </c>
      <c r="E127">
        <v>126</v>
      </c>
      <c r="J127" s="8" t="s">
        <v>289</v>
      </c>
      <c r="M127">
        <v>0</v>
      </c>
    </row>
    <row r="128" ht="15" spans="1:13">
      <c r="A128" s="6" t="s">
        <v>138</v>
      </c>
      <c r="B128">
        <f>VLOOKUP(A128:A387,Sheet1!A$2:J$260,10,0)</f>
        <v>158</v>
      </c>
      <c r="C128" t="str">
        <f>VLOOKUP(A128:A387,Sheet1!A$2:J$260,5,0)</f>
        <v>Alive</v>
      </c>
      <c r="D128" s="7" t="s">
        <v>372</v>
      </c>
      <c r="E128">
        <v>127</v>
      </c>
      <c r="J128" s="8" t="s">
        <v>263</v>
      </c>
      <c r="M128">
        <v>1</v>
      </c>
    </row>
    <row r="129" ht="15" spans="1:13">
      <c r="A129" s="6" t="s">
        <v>45</v>
      </c>
      <c r="B129">
        <f>VLOOKUP(A129:A388,Sheet1!A$2:J$260,10,0)</f>
        <v>3047</v>
      </c>
      <c r="C129" t="str">
        <f>VLOOKUP(A129:A388,Sheet1!A$2:J$260,5,0)</f>
        <v>Dead</v>
      </c>
      <c r="D129" s="7" t="s">
        <v>372</v>
      </c>
      <c r="E129">
        <v>128</v>
      </c>
      <c r="J129" s="8" t="s">
        <v>138</v>
      </c>
      <c r="M129">
        <v>0</v>
      </c>
    </row>
    <row r="130" ht="15" spans="1:13">
      <c r="A130" s="6" t="s">
        <v>142</v>
      </c>
      <c r="B130">
        <f>VLOOKUP(A130:A389,Sheet1!A$2:J$260,10,0)</f>
        <v>922</v>
      </c>
      <c r="C130" t="str">
        <f>VLOOKUP(A130:A389,Sheet1!A$2:J$260,5,0)</f>
        <v>Alive</v>
      </c>
      <c r="D130" s="7" t="s">
        <v>372</v>
      </c>
      <c r="E130">
        <v>129</v>
      </c>
      <c r="J130" s="8" t="s">
        <v>178</v>
      </c>
      <c r="M130">
        <v>1</v>
      </c>
    </row>
    <row r="131" ht="15" spans="1:13">
      <c r="A131" s="6" t="s">
        <v>319</v>
      </c>
      <c r="B131">
        <f>VLOOKUP(A131:A390,Sheet1!A$2:J$260,10,0)</f>
        <v>773</v>
      </c>
      <c r="C131" t="str">
        <f>VLOOKUP(A131:A390,Sheet1!A$2:J$260,5,0)</f>
        <v>Alive</v>
      </c>
      <c r="D131" s="7" t="s">
        <v>372</v>
      </c>
      <c r="E131">
        <v>130</v>
      </c>
      <c r="J131" s="8" t="s">
        <v>30</v>
      </c>
      <c r="M131">
        <v>1</v>
      </c>
    </row>
    <row r="132" ht="15" spans="1:13">
      <c r="A132" s="6" t="s">
        <v>269</v>
      </c>
      <c r="B132">
        <f>VLOOKUP(A132:A391,Sheet1!A$2:J$260,10,0)</f>
        <v>600</v>
      </c>
      <c r="C132" t="str">
        <f>VLOOKUP(A132:A391,Sheet1!A$2:J$260,5,0)</f>
        <v>Alive</v>
      </c>
      <c r="D132" s="7" t="s">
        <v>372</v>
      </c>
      <c r="E132">
        <v>131</v>
      </c>
      <c r="J132" s="8" t="s">
        <v>234</v>
      </c>
      <c r="M132">
        <v>1</v>
      </c>
    </row>
    <row r="133" ht="15" spans="1:13">
      <c r="A133" s="6" t="s">
        <v>245</v>
      </c>
      <c r="B133">
        <f>VLOOKUP(A133:A392,Sheet1!A$2:J$260,10,0)</f>
        <v>348</v>
      </c>
      <c r="C133" t="str">
        <f>VLOOKUP(A133:A392,Sheet1!A$2:J$260,5,0)</f>
        <v>Dead</v>
      </c>
      <c r="D133" s="7" t="s">
        <v>372</v>
      </c>
      <c r="E133">
        <v>132</v>
      </c>
      <c r="J133" s="8" t="s">
        <v>314</v>
      </c>
      <c r="M133">
        <v>0</v>
      </c>
    </row>
    <row r="134" ht="15" spans="1:13">
      <c r="A134" s="6" t="s">
        <v>94</v>
      </c>
      <c r="B134">
        <f>VLOOKUP(A134:A393,Sheet1!A$2:J$260,10,0)</f>
        <v>1175</v>
      </c>
      <c r="C134" t="str">
        <f>VLOOKUP(A134:A393,Sheet1!A$2:J$260,5,0)</f>
        <v>Dead</v>
      </c>
      <c r="D134" s="7" t="s">
        <v>372</v>
      </c>
      <c r="E134">
        <v>133</v>
      </c>
      <c r="J134" s="8" t="s">
        <v>239</v>
      </c>
      <c r="M134">
        <v>0</v>
      </c>
    </row>
    <row r="135" ht="15" spans="1:13">
      <c r="A135" s="6" t="s">
        <v>109</v>
      </c>
      <c r="B135">
        <f>VLOOKUP(A135:A394,Sheet1!A$2:J$260,10,0)</f>
        <v>398</v>
      </c>
      <c r="C135" t="str">
        <f>VLOOKUP(A135:A394,Sheet1!A$2:J$260,5,0)</f>
        <v>Alive</v>
      </c>
      <c r="D135" s="7" t="s">
        <v>372</v>
      </c>
      <c r="E135">
        <v>134</v>
      </c>
      <c r="J135" s="8" t="s">
        <v>60</v>
      </c>
      <c r="M135">
        <v>1</v>
      </c>
    </row>
    <row r="136" ht="15" spans="1:13">
      <c r="A136" s="6" t="s">
        <v>335</v>
      </c>
      <c r="B136">
        <f>VLOOKUP(A136:A395,Sheet1!A$2:J$260,10,0)</f>
        <v>537</v>
      </c>
      <c r="C136" t="str">
        <f>VLOOKUP(A136:A395,Sheet1!A$2:J$260,5,0)</f>
        <v>Alive</v>
      </c>
      <c r="D136" s="7" t="s">
        <v>372</v>
      </c>
      <c r="E136">
        <v>135</v>
      </c>
      <c r="J136" s="8" t="s">
        <v>221</v>
      </c>
      <c r="M136">
        <v>1</v>
      </c>
    </row>
    <row r="137" ht="15" spans="1:13">
      <c r="A137" s="6" t="s">
        <v>276</v>
      </c>
      <c r="B137">
        <f>VLOOKUP(A137:A396,Sheet1!A$2:J$260,10,0)</f>
        <v>56</v>
      </c>
      <c r="C137" t="str">
        <f>VLOOKUP(A137:A396,Sheet1!A$2:J$260,5,0)</f>
        <v>Alive</v>
      </c>
      <c r="D137" s="7" t="s">
        <v>372</v>
      </c>
      <c r="E137">
        <v>136</v>
      </c>
      <c r="J137" s="8" t="s">
        <v>319</v>
      </c>
      <c r="M137">
        <v>1</v>
      </c>
    </row>
    <row r="138" ht="15" spans="1:13">
      <c r="A138" s="6" t="s">
        <v>169</v>
      </c>
      <c r="B138">
        <f>VLOOKUP(A138:A397,Sheet1!A$2:J$260,10,0)</f>
        <v>1129</v>
      </c>
      <c r="C138" t="str">
        <f>VLOOKUP(A138:A397,Sheet1!A$2:J$260,5,0)</f>
        <v>Alive</v>
      </c>
      <c r="D138" s="7" t="s">
        <v>372</v>
      </c>
      <c r="E138">
        <v>137</v>
      </c>
      <c r="J138" s="8" t="s">
        <v>64</v>
      </c>
      <c r="M138">
        <v>1</v>
      </c>
    </row>
    <row r="139" ht="15" spans="1:13">
      <c r="A139" s="6" t="s">
        <v>228</v>
      </c>
      <c r="B139">
        <f>VLOOKUP(A139:A398,Sheet1!A$2:J$260,10,0)</f>
        <v>118</v>
      </c>
      <c r="C139" t="str">
        <f>VLOOKUP(A139:A398,Sheet1!A$2:J$260,5,0)</f>
        <v>Dead</v>
      </c>
      <c r="D139" s="7" t="s">
        <v>372</v>
      </c>
      <c r="E139">
        <v>138</v>
      </c>
      <c r="J139" s="8" t="s">
        <v>183</v>
      </c>
      <c r="M139">
        <v>0</v>
      </c>
    </row>
    <row r="140" ht="15" spans="1:13">
      <c r="A140" s="6" t="s">
        <v>226</v>
      </c>
      <c r="B140">
        <f>VLOOKUP(A140:A399,Sheet1!A$2:J$260,10,0)</f>
        <v>1239</v>
      </c>
      <c r="C140" t="str">
        <f>VLOOKUP(A140:A399,Sheet1!A$2:J$260,5,0)</f>
        <v>Dead</v>
      </c>
      <c r="D140" s="7" t="s">
        <v>372</v>
      </c>
      <c r="E140">
        <v>139</v>
      </c>
      <c r="J140" s="8" t="s">
        <v>177</v>
      </c>
      <c r="M140">
        <v>0</v>
      </c>
    </row>
    <row r="141" ht="15" spans="1:13">
      <c r="A141" s="6" t="s">
        <v>283</v>
      </c>
      <c r="B141">
        <f>VLOOKUP(A141:A400,Sheet1!A$2:J$260,10,0)</f>
        <v>996</v>
      </c>
      <c r="C141" t="str">
        <f>VLOOKUP(A141:A400,Sheet1!A$2:J$260,5,0)</f>
        <v>Alive</v>
      </c>
      <c r="D141" s="7" t="s">
        <v>372</v>
      </c>
      <c r="E141">
        <v>140</v>
      </c>
      <c r="J141" s="8" t="s">
        <v>286</v>
      </c>
      <c r="M141">
        <v>1</v>
      </c>
    </row>
    <row r="142" ht="15" spans="1:13">
      <c r="A142" s="6" t="s">
        <v>243</v>
      </c>
      <c r="B142">
        <f>VLOOKUP(A142:A401,Sheet1!A$2:J$260,10,0)</f>
        <v>416</v>
      </c>
      <c r="C142" t="str">
        <f>VLOOKUP(A142:A401,Sheet1!A$2:J$260,5,0)</f>
        <v>Dead</v>
      </c>
      <c r="D142" s="7" t="s">
        <v>372</v>
      </c>
      <c r="E142">
        <v>141</v>
      </c>
      <c r="J142" s="8" t="s">
        <v>300</v>
      </c>
      <c r="M142">
        <v>0</v>
      </c>
    </row>
    <row r="143" ht="15" spans="1:13">
      <c r="A143" s="6" t="s">
        <v>156</v>
      </c>
      <c r="B143">
        <f>VLOOKUP(A143:A402,Sheet1!A$2:J$260,10,0)</f>
        <v>597</v>
      </c>
      <c r="C143" t="str">
        <f>VLOOKUP(A143:A402,Sheet1!A$2:J$260,5,0)</f>
        <v>Alive</v>
      </c>
      <c r="D143" s="7" t="s">
        <v>372</v>
      </c>
      <c r="E143">
        <v>142</v>
      </c>
      <c r="J143" s="8" t="s">
        <v>97</v>
      </c>
      <c r="M143">
        <v>1</v>
      </c>
    </row>
    <row r="144" ht="15" spans="1:13">
      <c r="A144" s="6" t="s">
        <v>23</v>
      </c>
      <c r="B144">
        <f>VLOOKUP(A144:A403,Sheet1!A$2:J$260,10,0)</f>
        <v>1262</v>
      </c>
      <c r="C144" t="str">
        <f>VLOOKUP(A144:A403,Sheet1!A$2:J$260,5,0)</f>
        <v>Dead</v>
      </c>
      <c r="D144" s="7" t="s">
        <v>372</v>
      </c>
      <c r="E144">
        <v>143</v>
      </c>
      <c r="J144" s="8" t="s">
        <v>264</v>
      </c>
      <c r="M144">
        <v>0</v>
      </c>
    </row>
    <row r="145" ht="15" spans="1:13">
      <c r="A145" s="6" t="s">
        <v>151</v>
      </c>
      <c r="B145">
        <f>VLOOKUP(A145:A404,Sheet1!A$2:J$260,10,0)</f>
        <v>938</v>
      </c>
      <c r="C145" t="str">
        <f>VLOOKUP(A145:A404,Sheet1!A$2:J$260,5,0)</f>
        <v>Alive</v>
      </c>
      <c r="D145" s="7" t="s">
        <v>372</v>
      </c>
      <c r="E145">
        <v>144</v>
      </c>
      <c r="J145" s="8" t="s">
        <v>284</v>
      </c>
      <c r="M145">
        <v>1</v>
      </c>
    </row>
    <row r="146" ht="15" spans="1:13">
      <c r="A146" s="6" t="s">
        <v>299</v>
      </c>
      <c r="B146">
        <f>VLOOKUP(A146:A405,Sheet1!A$2:J$260,10,0)</f>
        <v>1070</v>
      </c>
      <c r="C146" t="str">
        <f>VLOOKUP(A146:A405,Sheet1!A$2:J$260,5,0)</f>
        <v>Alive</v>
      </c>
      <c r="D146" s="7" t="s">
        <v>372</v>
      </c>
      <c r="E146">
        <v>145</v>
      </c>
      <c r="J146" s="8" t="s">
        <v>27</v>
      </c>
      <c r="M146">
        <v>1</v>
      </c>
    </row>
    <row r="147" ht="15" spans="1:13">
      <c r="A147" s="6" t="s">
        <v>201</v>
      </c>
      <c r="B147">
        <f>VLOOKUP(A147:A406,Sheet1!A$2:J$260,10,0)</f>
        <v>896</v>
      </c>
      <c r="C147" t="str">
        <f>VLOOKUP(A147:A406,Sheet1!A$2:J$260,5,0)</f>
        <v>Alive</v>
      </c>
      <c r="D147" s="7" t="s">
        <v>372</v>
      </c>
      <c r="E147">
        <v>146</v>
      </c>
      <c r="J147" s="8" t="s">
        <v>82</v>
      </c>
      <c r="M147">
        <v>1</v>
      </c>
    </row>
    <row r="148" ht="15" spans="1:13">
      <c r="A148" s="6" t="s">
        <v>191</v>
      </c>
      <c r="B148">
        <f>VLOOKUP(A148:A407,Sheet1!A$2:J$260,10,0)</f>
        <v>831</v>
      </c>
      <c r="C148" t="str">
        <f>VLOOKUP(A148:A407,Sheet1!A$2:J$260,5,0)</f>
        <v>Alive</v>
      </c>
      <c r="D148" s="7" t="s">
        <v>372</v>
      </c>
      <c r="E148">
        <v>147</v>
      </c>
      <c r="J148" s="8" t="s">
        <v>292</v>
      </c>
      <c r="M148">
        <v>1</v>
      </c>
    </row>
    <row r="149" ht="15" spans="1:13">
      <c r="A149" s="9" t="s">
        <v>122</v>
      </c>
      <c r="B149">
        <f>VLOOKUP(A149:A408,Sheet1!A$2:J$260,10,0)</f>
        <v>485</v>
      </c>
      <c r="C149" t="str">
        <f>VLOOKUP(A149:A408,Sheet1!A$2:J$260,5,0)</f>
        <v>Alive</v>
      </c>
      <c r="D149" s="7" t="s">
        <v>372</v>
      </c>
      <c r="E149">
        <v>148</v>
      </c>
      <c r="J149" s="8" t="s">
        <v>112</v>
      </c>
      <c r="M149">
        <v>1</v>
      </c>
    </row>
    <row r="150" ht="15" spans="1:13">
      <c r="A150" s="6" t="s">
        <v>141</v>
      </c>
      <c r="B150">
        <f>VLOOKUP(A150:A409,Sheet1!A$2:J$260,10,0)</f>
        <v>1104</v>
      </c>
      <c r="C150" t="str">
        <f>VLOOKUP(A150:A409,Sheet1!A$2:J$260,5,0)</f>
        <v>Alive</v>
      </c>
      <c r="D150" s="7" t="s">
        <v>373</v>
      </c>
      <c r="E150">
        <v>149</v>
      </c>
      <c r="J150" s="8" t="s">
        <v>216</v>
      </c>
      <c r="M150">
        <v>1</v>
      </c>
    </row>
    <row r="151" ht="15" spans="1:13">
      <c r="A151" s="6" t="s">
        <v>336</v>
      </c>
      <c r="B151">
        <f>VLOOKUP(A151:A410,Sheet1!A$2:J$260,10,0)</f>
        <v>959</v>
      </c>
      <c r="C151" t="str">
        <f>VLOOKUP(A151:A410,Sheet1!A$2:J$260,5,0)</f>
        <v>Alive</v>
      </c>
      <c r="D151" s="7" t="s">
        <v>373</v>
      </c>
      <c r="E151">
        <v>150</v>
      </c>
      <c r="J151" s="8" t="s">
        <v>43</v>
      </c>
      <c r="M151">
        <v>1</v>
      </c>
    </row>
    <row r="152" ht="15" spans="1:13">
      <c r="A152" s="6" t="s">
        <v>270</v>
      </c>
      <c r="B152">
        <f>VLOOKUP(A152:A411,Sheet1!A$2:J$260,10,0)</f>
        <v>2085</v>
      </c>
      <c r="C152" t="str">
        <f>VLOOKUP(A152:A411,Sheet1!A$2:J$260,5,0)</f>
        <v>Alive</v>
      </c>
      <c r="D152" s="7" t="s">
        <v>373</v>
      </c>
      <c r="E152">
        <v>151</v>
      </c>
      <c r="J152" s="8" t="s">
        <v>218</v>
      </c>
      <c r="M152">
        <v>1</v>
      </c>
    </row>
    <row r="153" ht="15" spans="1:13">
      <c r="A153" s="6" t="s">
        <v>247</v>
      </c>
      <c r="B153">
        <f>VLOOKUP(A153:A412,Sheet1!A$2:J$260,10,0)</f>
        <v>5271</v>
      </c>
      <c r="C153" t="str">
        <f>VLOOKUP(A153:A412,Sheet1!A$2:J$260,5,0)</f>
        <v>Dead</v>
      </c>
      <c r="D153" s="7" t="s">
        <v>373</v>
      </c>
      <c r="E153">
        <v>152</v>
      </c>
      <c r="J153" s="8" t="s">
        <v>241</v>
      </c>
      <c r="M153">
        <v>0</v>
      </c>
    </row>
    <row r="154" ht="15" spans="1:13">
      <c r="A154" s="6" t="s">
        <v>250</v>
      </c>
      <c r="B154">
        <f>VLOOKUP(A154:A413,Sheet1!A$2:J$260,10,0)</f>
        <v>1366</v>
      </c>
      <c r="C154" t="str">
        <f>VLOOKUP(A154:A413,Sheet1!A$2:J$260,5,0)</f>
        <v>Dead</v>
      </c>
      <c r="D154" s="7" t="s">
        <v>373</v>
      </c>
      <c r="E154">
        <v>153</v>
      </c>
      <c r="J154" s="8" t="s">
        <v>93</v>
      </c>
      <c r="M154">
        <v>0</v>
      </c>
    </row>
    <row r="155" ht="15" spans="1:13">
      <c r="A155" s="6" t="s">
        <v>149</v>
      </c>
      <c r="B155">
        <f>VLOOKUP(A155:A414,Sheet1!A$2:J$260,10,0)</f>
        <v>1665</v>
      </c>
      <c r="C155" t="str">
        <f>VLOOKUP(A155:A414,Sheet1!A$2:J$260,5,0)</f>
        <v>Alive</v>
      </c>
      <c r="D155" s="7" t="s">
        <v>373</v>
      </c>
      <c r="E155">
        <v>154</v>
      </c>
      <c r="J155" s="8" t="s">
        <v>272</v>
      </c>
      <c r="M155">
        <v>1</v>
      </c>
    </row>
    <row r="156" ht="15" spans="1:13">
      <c r="A156" s="6" t="s">
        <v>185</v>
      </c>
      <c r="B156">
        <f>VLOOKUP(A156:A415,Sheet1!A$2:J$260,10,0)</f>
        <v>768</v>
      </c>
      <c r="C156" t="str">
        <f>VLOOKUP(A156:A415,Sheet1!A$2:J$260,5,0)</f>
        <v>Alive</v>
      </c>
      <c r="D156" s="7" t="s">
        <v>373</v>
      </c>
      <c r="E156">
        <v>155</v>
      </c>
      <c r="J156" s="8" t="s">
        <v>336</v>
      </c>
      <c r="M156">
        <v>1</v>
      </c>
    </row>
    <row r="157" ht="15" spans="1:13">
      <c r="A157" s="6" t="s">
        <v>70</v>
      </c>
      <c r="B157">
        <f>VLOOKUP(A157:A416,Sheet1!A$2:J$260,10,0)</f>
        <v>437</v>
      </c>
      <c r="C157" t="str">
        <f>VLOOKUP(A157:A416,Sheet1!A$2:J$260,5,0)</f>
        <v>Dead</v>
      </c>
      <c r="D157" s="7" t="s">
        <v>373</v>
      </c>
      <c r="E157">
        <v>156</v>
      </c>
      <c r="J157" s="8" t="s">
        <v>297</v>
      </c>
      <c r="M157">
        <v>0</v>
      </c>
    </row>
    <row r="158" ht="15" spans="1:13">
      <c r="A158" s="6" t="s">
        <v>188</v>
      </c>
      <c r="B158">
        <f>VLOOKUP(A158:A417,Sheet1!A$2:J$260,10,0)</f>
        <v>1303</v>
      </c>
      <c r="C158" t="str">
        <f>VLOOKUP(A158:A417,Sheet1!A$2:J$260,5,0)</f>
        <v>Alive</v>
      </c>
      <c r="D158" s="7" t="s">
        <v>373</v>
      </c>
      <c r="E158">
        <v>157</v>
      </c>
      <c r="J158" s="8" t="s">
        <v>45</v>
      </c>
      <c r="M158">
        <v>1</v>
      </c>
    </row>
    <row r="159" ht="15" spans="1:13">
      <c r="A159" s="6" t="s">
        <v>268</v>
      </c>
      <c r="B159">
        <f>VLOOKUP(A159:A418,Sheet1!A$2:J$260,10,0)</f>
        <v>314</v>
      </c>
      <c r="C159" t="str">
        <f>VLOOKUP(A159:A418,Sheet1!A$2:J$260,5,0)</f>
        <v>Alive</v>
      </c>
      <c r="D159" s="7" t="s">
        <v>373</v>
      </c>
      <c r="E159">
        <v>158</v>
      </c>
      <c r="J159" s="8" t="s">
        <v>207</v>
      </c>
      <c r="M159">
        <v>1</v>
      </c>
    </row>
    <row r="160" ht="15" spans="1:13">
      <c r="A160" s="6" t="s">
        <v>322</v>
      </c>
      <c r="B160">
        <f>VLOOKUP(A160:A419,Sheet1!A$2:J$260,10,0)</f>
        <v>1170</v>
      </c>
      <c r="C160" t="str">
        <f>VLOOKUP(A160:A419,Sheet1!A$2:J$260,5,0)</f>
        <v>Alive</v>
      </c>
      <c r="D160" s="7" t="s">
        <v>373</v>
      </c>
      <c r="E160">
        <v>159</v>
      </c>
      <c r="J160" s="8" t="s">
        <v>86</v>
      </c>
      <c r="M160">
        <v>1</v>
      </c>
    </row>
    <row r="161" ht="15" spans="1:13">
      <c r="A161" s="6" t="s">
        <v>235</v>
      </c>
      <c r="B161">
        <f>VLOOKUP(A161:A420,Sheet1!A$2:J$260,10,0)</f>
        <v>567</v>
      </c>
      <c r="C161" t="str">
        <f>VLOOKUP(A161:A420,Sheet1!A$2:J$260,5,0)</f>
        <v>Dead</v>
      </c>
      <c r="D161" s="7" t="s">
        <v>373</v>
      </c>
      <c r="E161">
        <v>160</v>
      </c>
      <c r="J161" s="8" t="s">
        <v>109</v>
      </c>
      <c r="M161">
        <v>0</v>
      </c>
    </row>
    <row r="162" ht="15" spans="1:13">
      <c r="A162" s="6" t="s">
        <v>326</v>
      </c>
      <c r="B162">
        <f>VLOOKUP(A162:A421,Sheet1!A$2:J$260,10,0)</f>
        <v>808</v>
      </c>
      <c r="C162" t="str">
        <f>VLOOKUP(A162:A421,Sheet1!A$2:J$260,5,0)</f>
        <v>Alive</v>
      </c>
      <c r="D162" s="7" t="s">
        <v>373</v>
      </c>
      <c r="E162">
        <v>161</v>
      </c>
      <c r="J162" s="8" t="s">
        <v>235</v>
      </c>
      <c r="M162">
        <v>1</v>
      </c>
    </row>
    <row r="163" ht="15" spans="1:13">
      <c r="A163" s="6" t="s">
        <v>342</v>
      </c>
      <c r="B163">
        <f>VLOOKUP(A163:A422,Sheet1!A$2:J$260,10,0)</f>
        <v>2087</v>
      </c>
      <c r="C163" t="str">
        <f>VLOOKUP(A163:A422,Sheet1!A$2:J$260,5,0)</f>
        <v>Alive</v>
      </c>
      <c r="D163" s="7" t="s">
        <v>373</v>
      </c>
      <c r="E163">
        <v>162</v>
      </c>
      <c r="J163" s="8" t="s">
        <v>294</v>
      </c>
      <c r="M163">
        <v>1</v>
      </c>
    </row>
    <row r="164" ht="15" spans="1:13">
      <c r="A164" s="6" t="s">
        <v>33</v>
      </c>
      <c r="B164">
        <f>VLOOKUP(A164:A423,Sheet1!A$2:J$260,10,0)</f>
        <v>564</v>
      </c>
      <c r="C164" t="str">
        <f>VLOOKUP(A164:A423,Sheet1!A$2:J$260,5,0)</f>
        <v>Dead</v>
      </c>
      <c r="D164" s="7" t="s">
        <v>373</v>
      </c>
      <c r="E164">
        <v>163</v>
      </c>
      <c r="J164" s="8" t="s">
        <v>192</v>
      </c>
      <c r="M164">
        <v>0</v>
      </c>
    </row>
    <row r="165" ht="15" spans="1:13">
      <c r="A165" s="6" t="s">
        <v>48</v>
      </c>
      <c r="B165">
        <f>VLOOKUP(A165:A424,Sheet1!A$2:J$260,10,0)</f>
        <v>3069</v>
      </c>
      <c r="C165" t="str">
        <f>VLOOKUP(A165:A424,Sheet1!A$2:J$260,5,0)</f>
        <v>Dead</v>
      </c>
      <c r="D165" s="7" t="s">
        <v>373</v>
      </c>
      <c r="E165">
        <v>164</v>
      </c>
      <c r="J165" s="8" t="s">
        <v>154</v>
      </c>
      <c r="M165">
        <v>0</v>
      </c>
    </row>
    <row r="166" ht="15" spans="1:13">
      <c r="A166" s="6" t="s">
        <v>196</v>
      </c>
      <c r="B166">
        <f>VLOOKUP(A166:A425,Sheet1!A$2:J$260,10,0)</f>
        <v>2036</v>
      </c>
      <c r="C166" t="str">
        <f>VLOOKUP(A166:A425,Sheet1!A$2:J$260,5,0)</f>
        <v>Alive</v>
      </c>
      <c r="D166" s="7" t="s">
        <v>373</v>
      </c>
      <c r="E166">
        <v>165</v>
      </c>
      <c r="J166" s="8" t="s">
        <v>305</v>
      </c>
      <c r="M166">
        <v>1</v>
      </c>
    </row>
    <row r="167" ht="15" spans="1:13">
      <c r="A167" s="6" t="s">
        <v>324</v>
      </c>
      <c r="B167">
        <f>VLOOKUP(A167:A426,Sheet1!A$2:J$260,10,0)</f>
        <v>2271</v>
      </c>
      <c r="C167" t="str">
        <f>VLOOKUP(A167:A426,Sheet1!A$2:J$260,5,0)</f>
        <v>Alive</v>
      </c>
      <c r="D167" s="7" t="s">
        <v>373</v>
      </c>
      <c r="E167">
        <v>166</v>
      </c>
      <c r="J167" s="8" t="s">
        <v>290</v>
      </c>
      <c r="M167">
        <v>1</v>
      </c>
    </row>
    <row r="168" ht="15" spans="1:13">
      <c r="A168" s="6" t="s">
        <v>35</v>
      </c>
      <c r="B168">
        <f>VLOOKUP(A168:A427,Sheet1!A$2:J$260,10,0)</f>
        <v>160</v>
      </c>
      <c r="C168" t="str">
        <f>VLOOKUP(A168:A427,Sheet1!A$2:J$260,5,0)</f>
        <v>Dead</v>
      </c>
      <c r="D168" s="7" t="s">
        <v>373</v>
      </c>
      <c r="E168">
        <v>167</v>
      </c>
      <c r="J168" s="8" t="s">
        <v>14</v>
      </c>
      <c r="M168">
        <v>0</v>
      </c>
    </row>
    <row r="169" ht="15" spans="1:13">
      <c r="A169" s="6" t="s">
        <v>36</v>
      </c>
      <c r="B169">
        <f>VLOOKUP(A169:A428,Sheet1!A$2:J$260,10,0)</f>
        <v>191</v>
      </c>
      <c r="C169" t="str">
        <f>VLOOKUP(A169:A428,Sheet1!A$2:J$260,5,0)</f>
        <v>Dead</v>
      </c>
      <c r="D169" s="7" t="s">
        <v>373</v>
      </c>
      <c r="E169">
        <v>168</v>
      </c>
      <c r="J169" s="8" t="s">
        <v>212</v>
      </c>
      <c r="M169">
        <v>0</v>
      </c>
    </row>
    <row r="170" ht="15" spans="1:13">
      <c r="A170" s="6" t="s">
        <v>37</v>
      </c>
      <c r="B170">
        <f>VLOOKUP(A170:A429,Sheet1!A$2:J$260,10,0)</f>
        <v>846</v>
      </c>
      <c r="C170" t="str">
        <f>VLOOKUP(A170:A429,Sheet1!A$2:J$260,5,0)</f>
        <v>Dead</v>
      </c>
      <c r="D170" s="7" t="s">
        <v>373</v>
      </c>
      <c r="E170">
        <v>169</v>
      </c>
      <c r="J170" s="8" t="s">
        <v>179</v>
      </c>
      <c r="M170">
        <v>0</v>
      </c>
    </row>
    <row r="171" ht="15" spans="1:13">
      <c r="A171" s="6" t="s">
        <v>332</v>
      </c>
      <c r="B171">
        <f>VLOOKUP(A171:A430,Sheet1!A$2:J$260,10,0)</f>
        <v>261</v>
      </c>
      <c r="C171" t="str">
        <f>VLOOKUP(A171:A430,Sheet1!A$2:J$260,5,0)</f>
        <v>Alive</v>
      </c>
      <c r="D171" s="7" t="s">
        <v>373</v>
      </c>
      <c r="E171">
        <v>170</v>
      </c>
      <c r="J171" s="8" t="s">
        <v>261</v>
      </c>
      <c r="M171">
        <v>1</v>
      </c>
    </row>
    <row r="172" ht="15" spans="1:13">
      <c r="A172" s="6" t="s">
        <v>92</v>
      </c>
      <c r="B172">
        <f>VLOOKUP(A172:A431,Sheet1!A$2:J$260,10,0)</f>
        <v>295</v>
      </c>
      <c r="C172" t="str">
        <f>VLOOKUP(A172:A431,Sheet1!A$2:J$260,5,0)</f>
        <v>Dead</v>
      </c>
      <c r="D172" s="7" t="s">
        <v>373</v>
      </c>
      <c r="E172">
        <v>171</v>
      </c>
      <c r="J172" s="8" t="s">
        <v>287</v>
      </c>
      <c r="M172">
        <v>0</v>
      </c>
    </row>
    <row r="173" ht="15" spans="1:13">
      <c r="A173" s="6" t="s">
        <v>171</v>
      </c>
      <c r="B173">
        <f>VLOOKUP(A173:A432,Sheet1!A$2:J$260,10,0)</f>
        <v>2408</v>
      </c>
      <c r="C173" t="str">
        <f>VLOOKUP(A173:A432,Sheet1!A$2:J$260,5,0)</f>
        <v>Alive</v>
      </c>
      <c r="D173" s="7" t="s">
        <v>373</v>
      </c>
      <c r="E173">
        <v>172</v>
      </c>
      <c r="J173" s="8" t="s">
        <v>153</v>
      </c>
      <c r="M173">
        <v>1</v>
      </c>
    </row>
    <row r="174" ht="15" spans="1:13">
      <c r="A174" s="6" t="s">
        <v>289</v>
      </c>
      <c r="B174">
        <f>VLOOKUP(A174:A433,Sheet1!A$2:J$260,10,0)</f>
        <v>2641</v>
      </c>
      <c r="C174" t="str">
        <f>VLOOKUP(A174:A433,Sheet1!A$2:J$260,5,0)</f>
        <v>Alive</v>
      </c>
      <c r="D174" s="7" t="s">
        <v>373</v>
      </c>
      <c r="E174">
        <v>173</v>
      </c>
      <c r="J174" s="8" t="s">
        <v>220</v>
      </c>
      <c r="M174">
        <v>1</v>
      </c>
    </row>
    <row r="175" ht="15" spans="1:13">
      <c r="A175" s="6" t="s">
        <v>62</v>
      </c>
      <c r="B175">
        <f>VLOOKUP(A175:A434,Sheet1!A$2:J$260,10,0)</f>
        <v>1628</v>
      </c>
      <c r="C175" t="str">
        <f>VLOOKUP(A175:A434,Sheet1!A$2:J$260,5,0)</f>
        <v>Dead</v>
      </c>
      <c r="D175" s="7" t="s">
        <v>373</v>
      </c>
      <c r="E175">
        <v>174</v>
      </c>
      <c r="J175" s="8" t="s">
        <v>243</v>
      </c>
      <c r="M175">
        <v>0</v>
      </c>
    </row>
    <row r="176" ht="15" spans="1:13">
      <c r="A176" s="6" t="s">
        <v>86</v>
      </c>
      <c r="B176">
        <f>VLOOKUP(A176:A435,Sheet1!A$2:J$260,10,0)</f>
        <v>2853</v>
      </c>
      <c r="C176" t="str">
        <f>VLOOKUP(A176:A435,Sheet1!A$2:J$260,5,0)</f>
        <v>Dead</v>
      </c>
      <c r="D176" s="7" t="s">
        <v>373</v>
      </c>
      <c r="E176">
        <v>175</v>
      </c>
      <c r="J176" s="8" t="s">
        <v>328</v>
      </c>
      <c r="M176">
        <v>0</v>
      </c>
    </row>
    <row r="177" ht="15" spans="1:13">
      <c r="A177" s="6" t="s">
        <v>84</v>
      </c>
      <c r="B177">
        <f>VLOOKUP(A177:A436,Sheet1!A$2:J$260,10,0)</f>
        <v>456</v>
      </c>
      <c r="C177" t="str">
        <f>VLOOKUP(A177:A436,Sheet1!A$2:J$260,5,0)</f>
        <v>Dead</v>
      </c>
      <c r="D177" s="7" t="s">
        <v>373</v>
      </c>
      <c r="E177">
        <v>176</v>
      </c>
      <c r="J177" s="8" t="s">
        <v>158</v>
      </c>
      <c r="M177">
        <v>0</v>
      </c>
    </row>
    <row r="178" ht="15" spans="1:13">
      <c r="A178" s="6" t="s">
        <v>78</v>
      </c>
      <c r="B178">
        <f>VLOOKUP(A178:A437,Sheet1!A$2:J$260,10,0)</f>
        <v>296</v>
      </c>
      <c r="C178" t="str">
        <f>VLOOKUP(A178:A437,Sheet1!A$2:J$260,5,0)</f>
        <v>Dead</v>
      </c>
      <c r="D178" s="7" t="s">
        <v>373</v>
      </c>
      <c r="E178">
        <v>177</v>
      </c>
      <c r="J178" s="8" t="s">
        <v>307</v>
      </c>
      <c r="M178">
        <v>0</v>
      </c>
    </row>
    <row r="179" ht="15" spans="1:13">
      <c r="A179" s="6" t="s">
        <v>108</v>
      </c>
      <c r="B179">
        <f>VLOOKUP(A179:A438,Sheet1!A$2:J$260,10,0)</f>
        <v>1605</v>
      </c>
      <c r="C179" t="str">
        <f>VLOOKUP(A179:A438,Sheet1!A$2:J$260,5,0)</f>
        <v>Alive</v>
      </c>
      <c r="D179" s="7" t="s">
        <v>373</v>
      </c>
      <c r="E179">
        <v>178</v>
      </c>
      <c r="J179" s="8" t="s">
        <v>342</v>
      </c>
      <c r="M179">
        <v>1</v>
      </c>
    </row>
    <row r="180" ht="15" spans="1:13">
      <c r="A180" s="6" t="s">
        <v>198</v>
      </c>
      <c r="B180">
        <f>VLOOKUP(A180:A439,Sheet1!A$2:J$260,10,0)</f>
        <v>805</v>
      </c>
      <c r="C180" t="str">
        <f>VLOOKUP(A180:A439,Sheet1!A$2:J$260,5,0)</f>
        <v>Alive</v>
      </c>
      <c r="D180" s="7" t="s">
        <v>373</v>
      </c>
      <c r="E180">
        <v>179</v>
      </c>
      <c r="J180" s="8" t="s">
        <v>100</v>
      </c>
      <c r="M180">
        <v>1</v>
      </c>
    </row>
    <row r="181" ht="15" spans="1:13">
      <c r="A181" s="6" t="s">
        <v>313</v>
      </c>
      <c r="B181">
        <f>VLOOKUP(A181:A440,Sheet1!A$2:J$260,10,0)</f>
        <v>3310</v>
      </c>
      <c r="C181" t="str">
        <f>VLOOKUP(A181:A440,Sheet1!A$2:J$260,5,0)</f>
        <v>Alive</v>
      </c>
      <c r="D181" s="7" t="s">
        <v>373</v>
      </c>
      <c r="E181">
        <v>180</v>
      </c>
      <c r="J181" s="8" t="s">
        <v>214</v>
      </c>
      <c r="M181">
        <v>1</v>
      </c>
    </row>
    <row r="182" ht="15" spans="1:13">
      <c r="A182" s="6" t="s">
        <v>337</v>
      </c>
      <c r="B182">
        <f>VLOOKUP(A182:A441,Sheet1!A$2:J$260,10,0)</f>
        <v>1143</v>
      </c>
      <c r="C182" t="str">
        <f>VLOOKUP(A182:A441,Sheet1!A$2:J$260,5,0)</f>
        <v>Alive</v>
      </c>
      <c r="D182" s="7" t="s">
        <v>373</v>
      </c>
      <c r="E182">
        <v>181</v>
      </c>
      <c r="J182" s="8" t="s">
        <v>69</v>
      </c>
      <c r="M182">
        <v>1</v>
      </c>
    </row>
    <row r="183" ht="15" spans="1:13">
      <c r="A183" s="6" t="s">
        <v>203</v>
      </c>
      <c r="B183">
        <f>VLOOKUP(A183:A442,Sheet1!A$2:J$260,10,0)</f>
        <v>1138</v>
      </c>
      <c r="C183" t="str">
        <f>VLOOKUP(A183:A442,Sheet1!A$2:J$260,5,0)</f>
        <v>Alive</v>
      </c>
      <c r="D183" s="7" t="s">
        <v>373</v>
      </c>
      <c r="E183">
        <v>182</v>
      </c>
      <c r="J183" s="8" t="s">
        <v>75</v>
      </c>
      <c r="M183">
        <v>1</v>
      </c>
    </row>
    <row r="184" ht="15" spans="1:13">
      <c r="A184" s="6" t="s">
        <v>262</v>
      </c>
      <c r="B184">
        <f>VLOOKUP(A184:A443,Sheet1!A$2:J$260,10,0)</f>
        <v>2515</v>
      </c>
      <c r="C184" t="str">
        <f>VLOOKUP(A184:A443,Sheet1!A$2:J$260,5,0)</f>
        <v>Alive</v>
      </c>
      <c r="D184" s="7" t="s">
        <v>373</v>
      </c>
      <c r="E184">
        <v>183</v>
      </c>
      <c r="J184" s="8" t="s">
        <v>59</v>
      </c>
      <c r="M184">
        <v>1</v>
      </c>
    </row>
    <row r="185" ht="15" spans="1:13">
      <c r="A185" s="6" t="s">
        <v>296</v>
      </c>
      <c r="B185">
        <f>VLOOKUP(A185:A444,Sheet1!A$2:J$260,10,0)</f>
        <v>1105</v>
      </c>
      <c r="C185" t="str">
        <f>VLOOKUP(A185:A444,Sheet1!A$2:J$260,5,0)</f>
        <v>Alive</v>
      </c>
      <c r="D185" s="7" t="s">
        <v>373</v>
      </c>
      <c r="E185">
        <v>184</v>
      </c>
      <c r="J185" s="8" t="s">
        <v>119</v>
      </c>
      <c r="M185">
        <v>1</v>
      </c>
    </row>
    <row r="186" ht="15" spans="1:13">
      <c r="A186" s="6" t="s">
        <v>162</v>
      </c>
      <c r="B186">
        <f>VLOOKUP(A186:A445,Sheet1!A$2:J$260,10,0)</f>
        <v>1121</v>
      </c>
      <c r="C186" t="str">
        <f>VLOOKUP(A186:A445,Sheet1!A$2:J$260,5,0)</f>
        <v>Alive</v>
      </c>
      <c r="D186" s="7" t="s">
        <v>373</v>
      </c>
      <c r="E186">
        <v>185</v>
      </c>
      <c r="J186" s="8" t="s">
        <v>23</v>
      </c>
      <c r="M186">
        <v>1</v>
      </c>
    </row>
    <row r="187" ht="15" spans="1:13">
      <c r="A187" s="6" t="s">
        <v>209</v>
      </c>
      <c r="B187">
        <f>VLOOKUP(A187:A446,Sheet1!A$2:J$260,10,0)</f>
        <v>1953</v>
      </c>
      <c r="C187" t="str">
        <f>VLOOKUP(A187:A446,Sheet1!A$2:J$260,5,0)</f>
        <v>Dead</v>
      </c>
      <c r="D187" s="7" t="s">
        <v>373</v>
      </c>
      <c r="E187">
        <v>186</v>
      </c>
      <c r="J187" s="8" t="s">
        <v>329</v>
      </c>
      <c r="M187">
        <v>0</v>
      </c>
    </row>
    <row r="188" ht="15" spans="1:13">
      <c r="A188" s="6" t="s">
        <v>315</v>
      </c>
      <c r="B188">
        <f>VLOOKUP(A188:A447,Sheet1!A$2:J$260,10,0)</f>
        <v>2830</v>
      </c>
      <c r="C188" t="str">
        <f>VLOOKUP(A188:A447,Sheet1!A$2:J$260,5,0)</f>
        <v>Alive</v>
      </c>
      <c r="D188" s="7" t="s">
        <v>373</v>
      </c>
      <c r="E188">
        <v>187</v>
      </c>
      <c r="J188" s="8" t="s">
        <v>56</v>
      </c>
      <c r="M188">
        <v>1</v>
      </c>
    </row>
    <row r="189" ht="15" spans="1:13">
      <c r="A189" s="6" t="s">
        <v>222</v>
      </c>
      <c r="B189">
        <f>VLOOKUP(A189:A448,Sheet1!A$2:J$260,10,0)</f>
        <v>1049</v>
      </c>
      <c r="C189" t="str">
        <f>VLOOKUP(A189:A448,Sheet1!A$2:J$260,5,0)</f>
        <v>Dead</v>
      </c>
      <c r="D189" s="7" t="s">
        <v>373</v>
      </c>
      <c r="E189">
        <v>188</v>
      </c>
      <c r="J189" s="8" t="s">
        <v>276</v>
      </c>
      <c r="M189">
        <v>0</v>
      </c>
    </row>
    <row r="190" ht="15" spans="1:13">
      <c r="A190" s="6" t="s">
        <v>340</v>
      </c>
      <c r="B190">
        <f>VLOOKUP(A190:A449,Sheet1!A$2:J$260,10,0)</f>
        <v>2291</v>
      </c>
      <c r="C190" t="str">
        <f>VLOOKUP(A190:A449,Sheet1!A$2:J$260,5,0)</f>
        <v>Alive</v>
      </c>
      <c r="D190" s="7" t="s">
        <v>373</v>
      </c>
      <c r="E190">
        <v>189</v>
      </c>
      <c r="J190" s="8" t="s">
        <v>88</v>
      </c>
      <c r="M190">
        <v>1</v>
      </c>
    </row>
    <row r="191" ht="15" spans="1:13">
      <c r="A191" s="6" t="s">
        <v>339</v>
      </c>
      <c r="B191">
        <f>VLOOKUP(A191:A450,Sheet1!A$2:J$260,10,0)</f>
        <v>1892</v>
      </c>
      <c r="C191" t="str">
        <f>VLOOKUP(A191:A450,Sheet1!A$2:J$260,5,0)</f>
        <v>Alive</v>
      </c>
      <c r="D191" s="7" t="s">
        <v>373</v>
      </c>
      <c r="E191">
        <v>190</v>
      </c>
      <c r="J191" s="8" t="s">
        <v>72</v>
      </c>
      <c r="M191">
        <v>1</v>
      </c>
    </row>
    <row r="192" ht="15" spans="1:13">
      <c r="A192" s="6" t="s">
        <v>323</v>
      </c>
      <c r="B192">
        <f>VLOOKUP(A192:A451,Sheet1!A$2:J$260,10,0)</f>
        <v>4627</v>
      </c>
      <c r="C192" t="str">
        <f>VLOOKUP(A192:A451,Sheet1!A$2:J$260,5,0)</f>
        <v>Alive</v>
      </c>
      <c r="D192" s="7" t="s">
        <v>373</v>
      </c>
      <c r="E192">
        <v>191</v>
      </c>
      <c r="J192" s="8" t="s">
        <v>198</v>
      </c>
      <c r="M192">
        <v>1</v>
      </c>
    </row>
    <row r="193" ht="15" spans="1:13">
      <c r="A193" s="6" t="s">
        <v>73</v>
      </c>
      <c r="B193">
        <f>VLOOKUP(A193:A452,Sheet1!A$2:J$260,10,0)</f>
        <v>1466</v>
      </c>
      <c r="C193" t="str">
        <f>VLOOKUP(A193:A452,Sheet1!A$2:J$260,5,0)</f>
        <v>Dead</v>
      </c>
      <c r="D193" s="7" t="s">
        <v>373</v>
      </c>
      <c r="E193">
        <v>192</v>
      </c>
      <c r="J193" s="8" t="s">
        <v>147</v>
      </c>
      <c r="M193">
        <v>0</v>
      </c>
    </row>
    <row r="194" ht="15" spans="1:13">
      <c r="A194" s="6" t="s">
        <v>153</v>
      </c>
      <c r="B194">
        <f>VLOOKUP(A194:A453,Sheet1!A$2:J$260,10,0)</f>
        <v>610</v>
      </c>
      <c r="C194" t="str">
        <f>VLOOKUP(A194:A453,Sheet1!A$2:J$260,5,0)</f>
        <v>Alive</v>
      </c>
      <c r="D194" s="7" t="s">
        <v>373</v>
      </c>
      <c r="E194">
        <v>193</v>
      </c>
      <c r="J194" s="8" t="s">
        <v>238</v>
      </c>
      <c r="M194">
        <v>1</v>
      </c>
    </row>
    <row r="195" ht="15" spans="1:13">
      <c r="A195" s="6" t="s">
        <v>279</v>
      </c>
      <c r="B195">
        <f>VLOOKUP(A195:A454,Sheet1!A$2:J$260,10,0)</f>
        <v>463</v>
      </c>
      <c r="C195" t="str">
        <f>VLOOKUP(A195:A454,Sheet1!A$2:J$260,5,0)</f>
        <v>Alive</v>
      </c>
      <c r="D195" s="7" t="s">
        <v>373</v>
      </c>
      <c r="E195">
        <v>194</v>
      </c>
      <c r="J195" s="8" t="s">
        <v>108</v>
      </c>
      <c r="M195">
        <v>1</v>
      </c>
    </row>
    <row r="196" ht="15" spans="1:13">
      <c r="A196" s="6" t="s">
        <v>295</v>
      </c>
      <c r="B196">
        <f>VLOOKUP(A196:A455,Sheet1!A$2:J$260,10,0)</f>
        <v>546</v>
      </c>
      <c r="C196" t="str">
        <f>VLOOKUP(A196:A455,Sheet1!A$2:J$260,5,0)</f>
        <v>Alive</v>
      </c>
      <c r="D196" s="7" t="s">
        <v>373</v>
      </c>
      <c r="E196">
        <v>195</v>
      </c>
      <c r="J196" s="8" t="s">
        <v>224</v>
      </c>
      <c r="M196">
        <v>1</v>
      </c>
    </row>
    <row r="197" ht="15" spans="1:13">
      <c r="A197" s="6" t="s">
        <v>221</v>
      </c>
      <c r="B197">
        <f>VLOOKUP(A197:A456,Sheet1!A$2:J$260,10,0)</f>
        <v>541</v>
      </c>
      <c r="C197" t="str">
        <f>VLOOKUP(A197:A456,Sheet1!A$2:J$260,5,0)</f>
        <v>Dead</v>
      </c>
      <c r="D197" s="7" t="s">
        <v>373</v>
      </c>
      <c r="E197">
        <v>196</v>
      </c>
      <c r="J197" s="8" t="s">
        <v>308</v>
      </c>
      <c r="M197">
        <v>0</v>
      </c>
    </row>
    <row r="198" ht="15" spans="1:13">
      <c r="A198" s="6" t="s">
        <v>320</v>
      </c>
      <c r="B198">
        <f>VLOOKUP(A198:A457,Sheet1!A$2:J$260,10,0)</f>
        <v>1373</v>
      </c>
      <c r="C198" t="str">
        <f>VLOOKUP(A198:A457,Sheet1!A$2:J$260,5,0)</f>
        <v>Alive</v>
      </c>
      <c r="D198" s="7" t="s">
        <v>373</v>
      </c>
      <c r="E198">
        <v>197</v>
      </c>
      <c r="J198" s="8" t="s">
        <v>332</v>
      </c>
      <c r="M198">
        <v>1</v>
      </c>
    </row>
    <row r="199" ht="15" spans="1:13">
      <c r="A199" s="6" t="s">
        <v>112</v>
      </c>
      <c r="B199">
        <f>VLOOKUP(A199:A458,Sheet1!A$2:J$260,10,0)</f>
        <v>428</v>
      </c>
      <c r="C199" t="str">
        <f>VLOOKUP(A199:A458,Sheet1!A$2:J$260,5,0)</f>
        <v>Alive</v>
      </c>
      <c r="D199" s="7" t="s">
        <v>373</v>
      </c>
      <c r="E199">
        <v>198</v>
      </c>
      <c r="J199" s="8" t="s">
        <v>295</v>
      </c>
      <c r="M199">
        <v>1</v>
      </c>
    </row>
    <row r="200" ht="15" spans="1:13">
      <c r="A200" s="6" t="s">
        <v>165</v>
      </c>
      <c r="B200">
        <f>VLOOKUP(A200:A459,Sheet1!A$2:J$260,10,0)</f>
        <v>1579</v>
      </c>
      <c r="C200" t="str">
        <f>VLOOKUP(A200:A459,Sheet1!A$2:J$260,5,0)</f>
        <v>Alive</v>
      </c>
      <c r="D200" s="7" t="s">
        <v>373</v>
      </c>
      <c r="E200">
        <v>199</v>
      </c>
      <c r="J200" s="8" t="s">
        <v>232</v>
      </c>
      <c r="M200">
        <v>1</v>
      </c>
    </row>
    <row r="201" ht="15" spans="1:13">
      <c r="A201" s="6" t="s">
        <v>88</v>
      </c>
      <c r="B201">
        <f>VLOOKUP(A201:A460,Sheet1!A$2:J$260,10,0)</f>
        <v>1116</v>
      </c>
      <c r="C201" t="str">
        <f>VLOOKUP(A201:A460,Sheet1!A$2:J$260,5,0)</f>
        <v>Dead</v>
      </c>
      <c r="D201" s="7" t="s">
        <v>373</v>
      </c>
      <c r="E201">
        <v>200</v>
      </c>
      <c r="J201" s="8" t="s">
        <v>273</v>
      </c>
      <c r="M201">
        <v>0</v>
      </c>
    </row>
    <row r="202" ht="15" spans="1:13">
      <c r="A202" s="6" t="s">
        <v>328</v>
      </c>
      <c r="B202">
        <f>VLOOKUP(A202:A461,Sheet1!A$2:J$260,10,0)</f>
        <v>2619</v>
      </c>
      <c r="C202" t="str">
        <f>VLOOKUP(A202:A461,Sheet1!A$2:J$260,5,0)</f>
        <v>Alive</v>
      </c>
      <c r="D202" s="7" t="s">
        <v>373</v>
      </c>
      <c r="E202">
        <v>201</v>
      </c>
      <c r="J202" s="8" t="s">
        <v>211</v>
      </c>
      <c r="M202">
        <v>1</v>
      </c>
    </row>
    <row r="203" ht="15" spans="1:13">
      <c r="A203" s="6" t="s">
        <v>135</v>
      </c>
      <c r="B203">
        <f>VLOOKUP(A203:A462,Sheet1!A$2:J$260,10,0)</f>
        <v>280</v>
      </c>
      <c r="C203" t="str">
        <f>VLOOKUP(A203:A462,Sheet1!A$2:J$260,5,0)</f>
        <v>Alive</v>
      </c>
      <c r="D203" s="7" t="s">
        <v>373</v>
      </c>
      <c r="E203">
        <v>202</v>
      </c>
      <c r="J203" s="8" t="s">
        <v>249</v>
      </c>
      <c r="M203">
        <v>1</v>
      </c>
    </row>
    <row r="204" ht="15" spans="1:13">
      <c r="A204" s="6" t="s">
        <v>310</v>
      </c>
      <c r="B204">
        <f>VLOOKUP(A204:A463,Sheet1!A$2:J$260,10,0)</f>
        <v>1092</v>
      </c>
      <c r="C204" t="str">
        <f>VLOOKUP(A204:A463,Sheet1!A$2:J$260,5,0)</f>
        <v>Alive</v>
      </c>
      <c r="D204" s="7" t="s">
        <v>373</v>
      </c>
      <c r="E204">
        <v>203</v>
      </c>
      <c r="J204" s="8" t="s">
        <v>84</v>
      </c>
      <c r="M204">
        <v>1</v>
      </c>
    </row>
    <row r="205" ht="15" spans="1:13">
      <c r="A205" s="6" t="s">
        <v>230</v>
      </c>
      <c r="B205">
        <f>VLOOKUP(A205:A464,Sheet1!A$2:J$260,10,0)</f>
        <v>1168</v>
      </c>
      <c r="C205" t="str">
        <f>VLOOKUP(A205:A464,Sheet1!A$2:J$260,5,0)</f>
        <v>Dead</v>
      </c>
      <c r="D205" s="7" t="s">
        <v>373</v>
      </c>
      <c r="E205">
        <v>204</v>
      </c>
      <c r="J205" s="8" t="s">
        <v>318</v>
      </c>
      <c r="M205">
        <v>0</v>
      </c>
    </row>
    <row r="206" ht="15" spans="1:13">
      <c r="A206" s="6" t="s">
        <v>59</v>
      </c>
      <c r="B206">
        <f>VLOOKUP(A206:A465,Sheet1!A$2:J$260,10,0)</f>
        <v>978</v>
      </c>
      <c r="C206" t="str">
        <f>VLOOKUP(A206:A465,Sheet1!A$2:J$260,5,0)</f>
        <v>Dead</v>
      </c>
      <c r="D206" s="7" t="s">
        <v>373</v>
      </c>
      <c r="E206">
        <v>205</v>
      </c>
      <c r="J206" s="8" t="s">
        <v>236</v>
      </c>
      <c r="M206">
        <v>0</v>
      </c>
    </row>
    <row r="207" ht="15" spans="1:13">
      <c r="A207" s="6" t="s">
        <v>152</v>
      </c>
      <c r="B207">
        <f>VLOOKUP(A207:A466,Sheet1!A$2:J$260,10,0)</f>
        <v>1548</v>
      </c>
      <c r="C207" t="str">
        <f>VLOOKUP(A207:A466,Sheet1!A$2:J$260,5,0)</f>
        <v>Alive</v>
      </c>
      <c r="D207" s="7" t="s">
        <v>373</v>
      </c>
      <c r="E207">
        <v>206</v>
      </c>
      <c r="J207" s="8" t="s">
        <v>302</v>
      </c>
      <c r="M207">
        <v>1</v>
      </c>
    </row>
    <row r="208" ht="15" spans="1:13">
      <c r="A208" s="6" t="s">
        <v>114</v>
      </c>
      <c r="B208">
        <f>VLOOKUP(A208:A467,Sheet1!A$2:J$260,10,0)</f>
        <v>2169</v>
      </c>
      <c r="C208" t="str">
        <f>VLOOKUP(A208:A467,Sheet1!A$2:J$260,5,0)</f>
        <v>Alive</v>
      </c>
      <c r="D208" s="7" t="s">
        <v>373</v>
      </c>
      <c r="E208">
        <v>207</v>
      </c>
      <c r="J208" s="8" t="s">
        <v>151</v>
      </c>
      <c r="M208">
        <v>1</v>
      </c>
    </row>
    <row r="209" ht="15" spans="1:13">
      <c r="A209" s="6" t="s">
        <v>140</v>
      </c>
      <c r="B209">
        <f>VLOOKUP(A209:A468,Sheet1!A$2:J$260,10,0)</f>
        <v>947</v>
      </c>
      <c r="C209" t="str">
        <f>VLOOKUP(A209:A468,Sheet1!A$2:J$260,5,0)</f>
        <v>Alive</v>
      </c>
      <c r="D209" s="7" t="s">
        <v>373</v>
      </c>
      <c r="E209">
        <v>208</v>
      </c>
      <c r="J209" s="8" t="s">
        <v>267</v>
      </c>
      <c r="M209">
        <v>1</v>
      </c>
    </row>
    <row r="210" ht="15" spans="1:13">
      <c r="A210" s="6" t="s">
        <v>325</v>
      </c>
      <c r="B210">
        <f>VLOOKUP(A210:A469,Sheet1!A$2:J$260,10,0)</f>
        <v>505</v>
      </c>
      <c r="C210" t="str">
        <f>VLOOKUP(A210:A469,Sheet1!A$2:J$260,5,0)</f>
        <v>Alive</v>
      </c>
      <c r="D210" s="7" t="s">
        <v>373</v>
      </c>
      <c r="E210">
        <v>209</v>
      </c>
      <c r="J210" s="8" t="s">
        <v>162</v>
      </c>
      <c r="M210">
        <v>1</v>
      </c>
    </row>
    <row r="211" ht="15" spans="1:13">
      <c r="A211" s="6" t="s">
        <v>130</v>
      </c>
      <c r="B211">
        <f>VLOOKUP(A211:A470,Sheet1!A$2:J$260,10,0)</f>
        <v>618</v>
      </c>
      <c r="C211" t="str">
        <f>VLOOKUP(A211:A470,Sheet1!A$2:J$260,5,0)</f>
        <v>Alive</v>
      </c>
      <c r="D211" s="7" t="s">
        <v>373</v>
      </c>
      <c r="E211">
        <v>210</v>
      </c>
      <c r="J211" s="8" t="s">
        <v>313</v>
      </c>
      <c r="M211">
        <v>1</v>
      </c>
    </row>
    <row r="212" ht="15" spans="1:13">
      <c r="A212" s="6" t="s">
        <v>260</v>
      </c>
      <c r="B212">
        <f>VLOOKUP(A212:A471,Sheet1!A$2:J$260,10,0)</f>
        <v>471</v>
      </c>
      <c r="C212" t="str">
        <f>VLOOKUP(A212:A471,Sheet1!A$2:J$260,5,0)</f>
        <v>Alive</v>
      </c>
      <c r="D212" s="7" t="s">
        <v>373</v>
      </c>
      <c r="E212">
        <v>211</v>
      </c>
      <c r="J212" s="8" t="s">
        <v>191</v>
      </c>
      <c r="M212">
        <v>1</v>
      </c>
    </row>
    <row r="213" ht="15" spans="1:13">
      <c r="A213" s="6" t="s">
        <v>321</v>
      </c>
      <c r="B213">
        <f>VLOOKUP(A213:A472,Sheet1!A$2:J$260,10,0)</f>
        <v>1126</v>
      </c>
      <c r="C213" t="str">
        <f>VLOOKUP(A213:A472,Sheet1!A$2:J$260,5,0)</f>
        <v>Alive</v>
      </c>
      <c r="D213" s="7" t="s">
        <v>373</v>
      </c>
      <c r="E213">
        <v>212</v>
      </c>
      <c r="J213" s="8" t="s">
        <v>107</v>
      </c>
      <c r="M213">
        <v>1</v>
      </c>
    </row>
    <row r="214" ht="15" spans="1:13">
      <c r="A214" s="6" t="s">
        <v>214</v>
      </c>
      <c r="B214">
        <f>VLOOKUP(A214:A473,Sheet1!A$2:J$260,10,0)</f>
        <v>25</v>
      </c>
      <c r="C214" t="str">
        <f>VLOOKUP(A214:A473,Sheet1!A$2:J$260,5,0)</f>
        <v>Dead</v>
      </c>
      <c r="D214" s="7" t="s">
        <v>373</v>
      </c>
      <c r="E214">
        <v>213</v>
      </c>
      <c r="J214" s="8" t="s">
        <v>165</v>
      </c>
      <c r="M214">
        <v>0</v>
      </c>
    </row>
    <row r="215" ht="15" spans="1:13">
      <c r="A215" s="6" t="s">
        <v>184</v>
      </c>
      <c r="B215">
        <f>VLOOKUP(A215:A474,Sheet1!A$2:J$260,10,0)</f>
        <v>298</v>
      </c>
      <c r="C215" t="str">
        <f>VLOOKUP(A215:A474,Sheet1!A$2:J$260,5,0)</f>
        <v>Alive</v>
      </c>
      <c r="D215" s="7" t="s">
        <v>373</v>
      </c>
      <c r="E215">
        <v>214</v>
      </c>
      <c r="J215" s="8" t="s">
        <v>139</v>
      </c>
      <c r="M215">
        <v>1</v>
      </c>
    </row>
    <row r="216" ht="15" spans="1:13">
      <c r="A216" s="6" t="s">
        <v>229</v>
      </c>
      <c r="B216">
        <f>VLOOKUP(A216:A475,Sheet1!A$2:J$260,10,0)</f>
        <v>2448</v>
      </c>
      <c r="C216" t="str">
        <f>VLOOKUP(A216:A475,Sheet1!A$2:J$260,5,0)</f>
        <v>Dead</v>
      </c>
      <c r="D216" s="7" t="s">
        <v>373</v>
      </c>
      <c r="E216">
        <v>215</v>
      </c>
      <c r="J216" s="8" t="s">
        <v>226</v>
      </c>
      <c r="M216">
        <v>0</v>
      </c>
    </row>
    <row r="217" ht="15" spans="1:13">
      <c r="A217" s="6" t="s">
        <v>287</v>
      </c>
      <c r="B217">
        <f>VLOOKUP(A217:A476,Sheet1!A$2:J$260,10,0)</f>
        <v>819</v>
      </c>
      <c r="C217" t="str">
        <f>VLOOKUP(A217:A476,Sheet1!A$2:J$260,5,0)</f>
        <v>Alive</v>
      </c>
      <c r="D217" s="7" t="s">
        <v>373</v>
      </c>
      <c r="E217">
        <v>216</v>
      </c>
      <c r="J217" s="8" t="s">
        <v>260</v>
      </c>
      <c r="M217">
        <v>1</v>
      </c>
    </row>
    <row r="218" ht="15" spans="1:13">
      <c r="A218" s="6" t="s">
        <v>305</v>
      </c>
      <c r="B218">
        <f>VLOOKUP(A218:A477,Sheet1!A$2:J$260,10,0)</f>
        <v>42</v>
      </c>
      <c r="C218" t="str">
        <f>VLOOKUP(A218:A477,Sheet1!A$2:J$260,5,0)</f>
        <v>Alive</v>
      </c>
      <c r="D218" s="7" t="s">
        <v>373</v>
      </c>
      <c r="E218">
        <v>217</v>
      </c>
      <c r="J218" s="8" t="s">
        <v>120</v>
      </c>
      <c r="M218">
        <v>1</v>
      </c>
    </row>
    <row r="219" ht="15" spans="1:13">
      <c r="A219" s="6" t="s">
        <v>190</v>
      </c>
      <c r="B219">
        <f>VLOOKUP(A219:A478,Sheet1!A$2:J$260,10,0)</f>
        <v>605</v>
      </c>
      <c r="C219" t="str">
        <f>VLOOKUP(A219:A478,Sheet1!A$2:J$260,5,0)</f>
        <v>Alive</v>
      </c>
      <c r="D219" s="7" t="s">
        <v>373</v>
      </c>
      <c r="E219">
        <v>218</v>
      </c>
      <c r="J219" s="8" t="s">
        <v>244</v>
      </c>
      <c r="M219">
        <v>1</v>
      </c>
    </row>
    <row r="220" ht="15" spans="1:13">
      <c r="A220" s="6" t="s">
        <v>43</v>
      </c>
      <c r="B220">
        <f>VLOOKUP(A220:A479,Sheet1!A$2:J$260,10,0)</f>
        <v>767</v>
      </c>
      <c r="C220" t="str">
        <f>VLOOKUP(A220:A479,Sheet1!A$2:J$260,5,0)</f>
        <v>Dead</v>
      </c>
      <c r="D220" s="7" t="s">
        <v>373</v>
      </c>
      <c r="E220">
        <v>219</v>
      </c>
      <c r="J220" s="8" t="s">
        <v>169</v>
      </c>
      <c r="M220">
        <v>0</v>
      </c>
    </row>
    <row r="221" ht="15" spans="1:13">
      <c r="A221" s="6" t="s">
        <v>144</v>
      </c>
      <c r="B221">
        <f>VLOOKUP(A221:A480,Sheet1!A$2:J$260,10,0)</f>
        <v>1590</v>
      </c>
      <c r="C221" t="str">
        <f>VLOOKUP(A221:A480,Sheet1!A$2:J$260,5,0)</f>
        <v>Alive</v>
      </c>
      <c r="D221" s="7" t="s">
        <v>373</v>
      </c>
      <c r="E221">
        <v>220</v>
      </c>
      <c r="J221" s="8" t="s">
        <v>103</v>
      </c>
      <c r="M221">
        <v>1</v>
      </c>
    </row>
    <row r="222" ht="15" spans="1:13">
      <c r="A222" s="6" t="s">
        <v>80</v>
      </c>
      <c r="B222">
        <f>VLOOKUP(A222:A481,Sheet1!A$2:J$260,10,0)</f>
        <v>858</v>
      </c>
      <c r="C222" t="str">
        <f>VLOOKUP(A222:A481,Sheet1!A$2:J$260,5,0)</f>
        <v>Dead</v>
      </c>
      <c r="D222" s="7" t="s">
        <v>373</v>
      </c>
      <c r="E222">
        <v>221</v>
      </c>
      <c r="J222" s="8" t="s">
        <v>149</v>
      </c>
      <c r="M222">
        <v>0</v>
      </c>
    </row>
    <row r="223" ht="15" spans="1:13">
      <c r="A223" s="6" t="s">
        <v>334</v>
      </c>
      <c r="B223">
        <f>VLOOKUP(A223:A482,Sheet1!A$2:J$260,10,0)</f>
        <v>5204</v>
      </c>
      <c r="C223" t="str">
        <f>VLOOKUP(A223:A482,Sheet1!A$2:J$260,5,0)</f>
        <v>Alive</v>
      </c>
      <c r="D223" s="7" t="s">
        <v>373</v>
      </c>
      <c r="E223">
        <v>222</v>
      </c>
      <c r="J223" s="8" t="s">
        <v>163</v>
      </c>
      <c r="M223">
        <v>1</v>
      </c>
    </row>
    <row r="224" ht="15" spans="1:13">
      <c r="A224" s="6" t="s">
        <v>256</v>
      </c>
      <c r="B224">
        <f>VLOOKUP(A224:A483,Sheet1!A$2:J$260,10,0)</f>
        <v>413</v>
      </c>
      <c r="C224" t="str">
        <f>VLOOKUP(A224:A483,Sheet1!A$2:J$260,5,0)</f>
        <v>Dead</v>
      </c>
      <c r="D224" s="7" t="s">
        <v>373</v>
      </c>
      <c r="E224">
        <v>223</v>
      </c>
      <c r="J224" s="8" t="s">
        <v>215</v>
      </c>
      <c r="M224">
        <v>0</v>
      </c>
    </row>
    <row r="225" ht="15" spans="1:13">
      <c r="A225" s="6" t="s">
        <v>311</v>
      </c>
      <c r="B225">
        <f>VLOOKUP(A225:A484,Sheet1!A$2:J$260,10,0)</f>
        <v>2615</v>
      </c>
      <c r="C225" t="str">
        <f>VLOOKUP(A225:A484,Sheet1!A$2:J$260,5,0)</f>
        <v>Alive</v>
      </c>
      <c r="D225" s="7" t="s">
        <v>373</v>
      </c>
      <c r="E225">
        <v>224</v>
      </c>
      <c r="J225" s="8" t="s">
        <v>333</v>
      </c>
      <c r="M225">
        <v>1</v>
      </c>
    </row>
    <row r="226" ht="15" spans="1:13">
      <c r="A226" s="6" t="s">
        <v>119</v>
      </c>
      <c r="B226">
        <f>VLOOKUP(A226:A485,Sheet1!A$2:J$260,10,0)</f>
        <v>499</v>
      </c>
      <c r="C226" t="str">
        <f>VLOOKUP(A226:A485,Sheet1!A$2:J$260,5,0)</f>
        <v>Alive</v>
      </c>
      <c r="D226" s="7" t="s">
        <v>373</v>
      </c>
      <c r="E226">
        <v>225</v>
      </c>
      <c r="J226" s="8" t="s">
        <v>132</v>
      </c>
      <c r="M226">
        <v>1</v>
      </c>
    </row>
    <row r="227" ht="15" spans="1:13">
      <c r="A227" s="6" t="s">
        <v>38</v>
      </c>
      <c r="B227">
        <f>VLOOKUP(A227:A486,Sheet1!A$2:J$260,10,0)</f>
        <v>119</v>
      </c>
      <c r="C227" t="str">
        <f>VLOOKUP(A227:A486,Sheet1!A$2:J$260,5,0)</f>
        <v>Dead</v>
      </c>
      <c r="D227" s="7" t="s">
        <v>373</v>
      </c>
      <c r="E227">
        <v>226</v>
      </c>
      <c r="J227" s="8" t="s">
        <v>154</v>
      </c>
      <c r="M227">
        <v>0</v>
      </c>
    </row>
    <row r="228" ht="15" spans="1:13">
      <c r="A228" s="6" t="s">
        <v>271</v>
      </c>
      <c r="B228">
        <f>VLOOKUP(A228:A487,Sheet1!A$2:J$260,10,0)</f>
        <v>3080</v>
      </c>
      <c r="C228" t="str">
        <f>VLOOKUP(A228:A487,Sheet1!A$2:J$260,5,0)</f>
        <v>Alive</v>
      </c>
      <c r="D228" s="7" t="s">
        <v>373</v>
      </c>
      <c r="E228">
        <v>227</v>
      </c>
      <c r="J228" s="8" t="s">
        <v>279</v>
      </c>
      <c r="M228">
        <v>1</v>
      </c>
    </row>
    <row r="229" ht="15" spans="1:13">
      <c r="A229" s="6" t="s">
        <v>178</v>
      </c>
      <c r="B229">
        <f>VLOOKUP(A229:A489,Sheet1!A$2:J$260,10,0)</f>
        <v>1622</v>
      </c>
      <c r="C229" t="str">
        <f>VLOOKUP(A229:A489,Sheet1!A$2:J$260,5,0)</f>
        <v>Alive</v>
      </c>
      <c r="D229" s="7" t="s">
        <v>373</v>
      </c>
      <c r="E229">
        <v>228</v>
      </c>
      <c r="J229" s="8" t="s">
        <v>94</v>
      </c>
      <c r="M229">
        <v>1</v>
      </c>
    </row>
    <row r="230" ht="15" spans="1:13">
      <c r="A230" s="6" t="s">
        <v>160</v>
      </c>
      <c r="B230">
        <f>VLOOKUP(A230:A490,Sheet1!A$2:J$260,10,0)</f>
        <v>3765</v>
      </c>
      <c r="C230" t="str">
        <f>VLOOKUP(A230:A490,Sheet1!A$2:J$260,5,0)</f>
        <v>Alive</v>
      </c>
      <c r="D230" s="7" t="s">
        <v>373</v>
      </c>
      <c r="E230">
        <v>229</v>
      </c>
      <c r="J230" s="8" t="s">
        <v>80</v>
      </c>
      <c r="M230">
        <v>1</v>
      </c>
    </row>
    <row r="231" ht="15" spans="1:13">
      <c r="A231" s="6" t="s">
        <v>120</v>
      </c>
      <c r="B231">
        <f>VLOOKUP(A231:A492,Sheet1!A$2:J$260,10,0)</f>
        <v>528</v>
      </c>
      <c r="C231" t="str">
        <f>VLOOKUP(A231:A492,Sheet1!A$2:J$260,5,0)</f>
        <v>Alive</v>
      </c>
      <c r="D231" s="7" t="s">
        <v>373</v>
      </c>
      <c r="E231">
        <v>230</v>
      </c>
      <c r="J231" s="8" t="s">
        <v>250</v>
      </c>
      <c r="M231">
        <v>1</v>
      </c>
    </row>
    <row r="232" ht="15" spans="1:13">
      <c r="A232" s="6" t="s">
        <v>272</v>
      </c>
      <c r="B232">
        <f>VLOOKUP(A232:A493,Sheet1!A$2:J$260,10,0)</f>
        <v>499</v>
      </c>
      <c r="C232" t="str">
        <f>VLOOKUP(A232:A493,Sheet1!A$2:J$260,5,0)</f>
        <v>Alive</v>
      </c>
      <c r="D232" s="7" t="s">
        <v>373</v>
      </c>
      <c r="E232">
        <v>231</v>
      </c>
      <c r="J232" s="8" t="s">
        <v>136</v>
      </c>
      <c r="M232">
        <v>1</v>
      </c>
    </row>
    <row r="233" ht="15" spans="1:13">
      <c r="A233" s="6" t="s">
        <v>41</v>
      </c>
      <c r="B233">
        <f>VLOOKUP(A233:A494,Sheet1!A$2:J$260,10,0)</f>
        <v>1332</v>
      </c>
      <c r="C233" t="str">
        <f>VLOOKUP(A233:A494,Sheet1!A$2:J$260,5,0)</f>
        <v>Dead</v>
      </c>
      <c r="D233" s="7" t="s">
        <v>373</v>
      </c>
      <c r="E233">
        <v>232</v>
      </c>
      <c r="J233" s="8" t="s">
        <v>229</v>
      </c>
      <c r="M233">
        <v>0</v>
      </c>
    </row>
    <row r="234" ht="15" spans="1:13">
      <c r="A234" s="6" t="s">
        <v>327</v>
      </c>
      <c r="B234">
        <f>VLOOKUP(A234:A495,Sheet1!A$2:J$260,10,0)</f>
        <v>356</v>
      </c>
      <c r="C234" t="str">
        <f>VLOOKUP(A234:A495,Sheet1!A$2:J$260,5,0)</f>
        <v>Alive</v>
      </c>
      <c r="D234" s="7" t="s">
        <v>373</v>
      </c>
      <c r="E234">
        <v>233</v>
      </c>
      <c r="J234" s="8" t="s">
        <v>79</v>
      </c>
      <c r="M234">
        <v>1</v>
      </c>
    </row>
    <row r="235" ht="15" spans="1:13">
      <c r="A235" s="6" t="s">
        <v>189</v>
      </c>
      <c r="B235">
        <f>VLOOKUP(A235:A496,Sheet1!A$2:J$260,10,0)</f>
        <v>15</v>
      </c>
      <c r="C235" t="str">
        <f>VLOOKUP(A235:A496,Sheet1!A$2:J$260,5,0)</f>
        <v>Alive</v>
      </c>
      <c r="D235" s="7" t="s">
        <v>373</v>
      </c>
      <c r="E235">
        <v>234</v>
      </c>
      <c r="J235" s="8" t="s">
        <v>337</v>
      </c>
      <c r="M235">
        <v>1</v>
      </c>
    </row>
    <row r="236" ht="15" spans="1:13">
      <c r="A236" s="6" t="s">
        <v>309</v>
      </c>
      <c r="B236">
        <f>VLOOKUP(A236:A497,Sheet1!A$2:J$260,10,0)</f>
        <v>661</v>
      </c>
      <c r="C236" t="str">
        <f>VLOOKUP(A236:A497,Sheet1!A$2:J$260,5,0)</f>
        <v>Alive</v>
      </c>
      <c r="D236" s="7" t="s">
        <v>373</v>
      </c>
      <c r="E236">
        <v>235</v>
      </c>
      <c r="J236" s="8" t="s">
        <v>140</v>
      </c>
      <c r="M236">
        <v>1</v>
      </c>
    </row>
    <row r="237" ht="15" spans="1:13">
      <c r="A237" s="6" t="s">
        <v>186</v>
      </c>
      <c r="B237">
        <f>VLOOKUP(A237:A498,Sheet1!A$2:J$260,10,0)</f>
        <v>681</v>
      </c>
      <c r="C237" t="str">
        <f>VLOOKUP(A237:A498,Sheet1!A$2:J$260,5,0)</f>
        <v>Alive</v>
      </c>
      <c r="D237" s="7" t="s">
        <v>373</v>
      </c>
      <c r="E237">
        <v>236</v>
      </c>
      <c r="J237" s="8" t="s">
        <v>38</v>
      </c>
      <c r="M237">
        <v>1</v>
      </c>
    </row>
    <row r="238" ht="15" spans="1:13">
      <c r="A238" s="6" t="s">
        <v>158</v>
      </c>
      <c r="B238">
        <f>VLOOKUP(A238:A499,Sheet1!A$2:J$260,10,0)</f>
        <v>352</v>
      </c>
      <c r="C238" t="str">
        <f>VLOOKUP(A238:A499,Sheet1!A$2:J$260,5,0)</f>
        <v>Alive</v>
      </c>
      <c r="D238" s="7" t="s">
        <v>373</v>
      </c>
      <c r="E238">
        <v>237</v>
      </c>
      <c r="J238" s="8" t="s">
        <v>145</v>
      </c>
      <c r="M238">
        <v>1</v>
      </c>
    </row>
    <row r="239" ht="15" spans="1:13">
      <c r="A239" s="6" t="s">
        <v>265</v>
      </c>
      <c r="B239">
        <f>VLOOKUP(A239:A500,Sheet1!A$2:J$260,10,0)</f>
        <v>3740</v>
      </c>
      <c r="C239" t="str">
        <f>VLOOKUP(A239:A500,Sheet1!A$2:J$260,5,0)</f>
        <v>Alive</v>
      </c>
      <c r="D239" s="7" t="s">
        <v>373</v>
      </c>
      <c r="E239">
        <v>238</v>
      </c>
      <c r="J239" s="8" t="s">
        <v>102</v>
      </c>
      <c r="M239">
        <v>1</v>
      </c>
    </row>
    <row r="240" ht="15" spans="1:13">
      <c r="A240" s="6" t="s">
        <v>231</v>
      </c>
      <c r="B240">
        <f>VLOOKUP(A240:A501,Sheet1!A$2:J$260,10,0)</f>
        <v>1142</v>
      </c>
      <c r="C240" t="str">
        <f>VLOOKUP(A240:A501,Sheet1!A$2:J$260,5,0)</f>
        <v>Dead</v>
      </c>
      <c r="D240" s="7" t="s">
        <v>373</v>
      </c>
      <c r="E240">
        <v>239</v>
      </c>
      <c r="J240" s="8" t="s">
        <v>323</v>
      </c>
      <c r="M240">
        <v>0</v>
      </c>
    </row>
    <row r="241" ht="15" spans="1:13">
      <c r="A241" s="6" t="s">
        <v>246</v>
      </c>
      <c r="B241">
        <f>VLOOKUP(A241:A502,Sheet1!A$2:J$260,10,0)</f>
        <v>550</v>
      </c>
      <c r="C241" t="str">
        <f>VLOOKUP(A241:A502,Sheet1!A$2:J$260,5,0)</f>
        <v>Dead</v>
      </c>
      <c r="D241" s="7" t="s">
        <v>373</v>
      </c>
      <c r="E241">
        <v>240</v>
      </c>
      <c r="J241" s="8" t="s">
        <v>117</v>
      </c>
      <c r="M241">
        <v>0</v>
      </c>
    </row>
    <row r="242" ht="15" spans="1:13">
      <c r="A242" s="6" t="s">
        <v>64</v>
      </c>
      <c r="B242">
        <f>VLOOKUP(A242:A503,Sheet1!A$2:J$260,10,0)</f>
        <v>550</v>
      </c>
      <c r="C242" t="str">
        <f>VLOOKUP(A242:A503,Sheet1!A$2:J$260,5,0)</f>
        <v>Dead</v>
      </c>
      <c r="D242" s="7" t="s">
        <v>373</v>
      </c>
      <c r="E242">
        <v>241</v>
      </c>
      <c r="J242" s="8" t="s">
        <v>324</v>
      </c>
      <c r="M242">
        <v>0</v>
      </c>
    </row>
    <row r="243" ht="15" spans="1:13">
      <c r="A243" s="6" t="s">
        <v>314</v>
      </c>
      <c r="B243">
        <f>VLOOKUP(A243:A504,Sheet1!A$2:J$260,10,0)</f>
        <v>1092</v>
      </c>
      <c r="C243" t="str">
        <f>VLOOKUP(A243:A504,Sheet1!A$2:J$260,5,0)</f>
        <v>Alive</v>
      </c>
      <c r="D243" s="7" t="s">
        <v>373</v>
      </c>
      <c r="E243">
        <v>242</v>
      </c>
      <c r="J243" s="8" t="s">
        <v>148</v>
      </c>
      <c r="M243">
        <v>1</v>
      </c>
    </row>
    <row r="244" ht="15" spans="1:13">
      <c r="A244" s="6" t="s">
        <v>308</v>
      </c>
      <c r="B244">
        <f>VLOOKUP(A244:A505,Sheet1!A$2:J$260,10,0)</f>
        <v>5723</v>
      </c>
      <c r="C244" t="str">
        <f>VLOOKUP(A244:A505,Sheet1!A$2:J$260,5,0)</f>
        <v>Alive</v>
      </c>
      <c r="D244" s="7" t="s">
        <v>373</v>
      </c>
      <c r="E244">
        <v>243</v>
      </c>
      <c r="J244" s="8" t="s">
        <v>270</v>
      </c>
      <c r="M244">
        <v>1</v>
      </c>
    </row>
    <row r="245" ht="15" spans="1:13">
      <c r="A245" s="6" t="s">
        <v>168</v>
      </c>
      <c r="B245">
        <f>VLOOKUP(A245:A506,Sheet1!A$2:J$260,10,0)</f>
        <v>3406</v>
      </c>
      <c r="C245" t="str">
        <f>VLOOKUP(A245:A506,Sheet1!A$2:J$260,5,0)</f>
        <v>Alive</v>
      </c>
      <c r="D245" s="7" t="s">
        <v>373</v>
      </c>
      <c r="E245">
        <v>244</v>
      </c>
      <c r="J245" s="8" t="s">
        <v>106</v>
      </c>
      <c r="M245">
        <v>1</v>
      </c>
    </row>
    <row r="246" ht="15" spans="1:13">
      <c r="A246" s="6" t="s">
        <v>318</v>
      </c>
      <c r="B246">
        <f>VLOOKUP(A246:A507,Sheet1!A$2:J$260,10,0)</f>
        <v>533</v>
      </c>
      <c r="C246" t="str">
        <f>VLOOKUP(A246:A507,Sheet1!A$2:J$260,5,0)</f>
        <v>Alive</v>
      </c>
      <c r="D246" s="7" t="s">
        <v>373</v>
      </c>
      <c r="E246">
        <v>245</v>
      </c>
      <c r="J246" s="8" t="s">
        <v>68</v>
      </c>
      <c r="M246">
        <v>1</v>
      </c>
    </row>
    <row r="247" ht="15" spans="1:13">
      <c r="A247" s="6" t="s">
        <v>307</v>
      </c>
      <c r="B247">
        <f>VLOOKUP(A247:A509,Sheet1!A$2:J$260,10,0)</f>
        <v>402</v>
      </c>
      <c r="C247" t="str">
        <f>VLOOKUP(A247:A509,Sheet1!A$2:J$260,5,0)</f>
        <v>Alive</v>
      </c>
      <c r="D247" s="7" t="s">
        <v>373</v>
      </c>
      <c r="E247">
        <v>246</v>
      </c>
      <c r="J247" s="8" t="s">
        <v>189</v>
      </c>
      <c r="M247">
        <v>1</v>
      </c>
    </row>
    <row r="248" ht="15" spans="1:13">
      <c r="A248" s="6" t="s">
        <v>117</v>
      </c>
      <c r="B248">
        <f>VLOOKUP(A248:A510,Sheet1!A$2:J$260,10,0)</f>
        <v>0</v>
      </c>
      <c r="C248" t="str">
        <f>VLOOKUP(A248:A510,Sheet1!A$2:J$260,5,0)</f>
        <v>Alive</v>
      </c>
      <c r="D248" s="7" t="s">
        <v>373</v>
      </c>
      <c r="E248">
        <v>247</v>
      </c>
      <c r="J248" s="8" t="s">
        <v>203</v>
      </c>
      <c r="M248">
        <v>1</v>
      </c>
    </row>
    <row r="249" ht="15" spans="1:13">
      <c r="A249" s="6" t="s">
        <v>154</v>
      </c>
      <c r="B249">
        <f>VLOOKUP(A249:A511,Sheet1!A$2:J$260,10,0)</f>
        <v>796</v>
      </c>
      <c r="C249" t="str">
        <f>VLOOKUP(A249:A511,Sheet1!A$2:J$260,5,0)</f>
        <v>Alive</v>
      </c>
      <c r="D249" s="7" t="s">
        <v>373</v>
      </c>
      <c r="E249">
        <v>248</v>
      </c>
      <c r="J249" s="8" t="s">
        <v>113</v>
      </c>
      <c r="M249">
        <v>1</v>
      </c>
    </row>
    <row r="250" ht="15" spans="1:13">
      <c r="A250" s="6" t="s">
        <v>329</v>
      </c>
      <c r="B250">
        <f>VLOOKUP(A250:A512,Sheet1!A$2:J$260,10,0)</f>
        <v>379</v>
      </c>
      <c r="C250" t="str">
        <f>VLOOKUP(A250:A512,Sheet1!A$2:J$260,5,0)</f>
        <v>Alive</v>
      </c>
      <c r="D250" s="7" t="s">
        <v>373</v>
      </c>
      <c r="E250">
        <v>249</v>
      </c>
      <c r="J250" s="8" t="s">
        <v>42</v>
      </c>
      <c r="M250">
        <v>1</v>
      </c>
    </row>
    <row r="251" ht="15" spans="1:13">
      <c r="A251" s="6" t="s">
        <v>71</v>
      </c>
      <c r="B251">
        <f>VLOOKUP(A251:A513,Sheet1!A$2:J$260,10,0)</f>
        <v>363</v>
      </c>
      <c r="C251" t="str">
        <f>VLOOKUP(A251:A513,Sheet1!A$2:J$260,5,0)</f>
        <v>Dead</v>
      </c>
      <c r="D251" s="7" t="s">
        <v>373</v>
      </c>
      <c r="E251">
        <v>250</v>
      </c>
      <c r="J251" s="8" t="s">
        <v>195</v>
      </c>
      <c r="M251">
        <v>0</v>
      </c>
    </row>
    <row r="252" ht="15" spans="1:13">
      <c r="A252" s="6" t="s">
        <v>166</v>
      </c>
      <c r="B252">
        <f>VLOOKUP(A252:A514,Sheet1!A$2:J$260,10,0)</f>
        <v>2579</v>
      </c>
      <c r="C252" t="str">
        <f>VLOOKUP(A252:A514,Sheet1!A$2:J$260,5,0)</f>
        <v>Alive</v>
      </c>
      <c r="D252" s="7" t="s">
        <v>373</v>
      </c>
      <c r="E252">
        <v>251</v>
      </c>
      <c r="J252" s="8" t="s">
        <v>152</v>
      </c>
      <c r="M252">
        <v>1</v>
      </c>
    </row>
    <row r="253" ht="15" spans="1:13">
      <c r="A253" s="6" t="s">
        <v>90</v>
      </c>
      <c r="B253">
        <f>VLOOKUP(A253:A515,Sheet1!A$2:J$260,10,0)</f>
        <v>1722</v>
      </c>
      <c r="C253" t="str">
        <f>VLOOKUP(A253:A515,Sheet1!A$2:J$260,5,0)</f>
        <v>Dead</v>
      </c>
      <c r="D253" s="7" t="s">
        <v>373</v>
      </c>
      <c r="E253">
        <v>252</v>
      </c>
      <c r="J253" s="8" t="s">
        <v>170</v>
      </c>
      <c r="M253">
        <v>0</v>
      </c>
    </row>
    <row r="254" ht="15" spans="1:13">
      <c r="A254" s="6" t="s">
        <v>183</v>
      </c>
      <c r="B254">
        <f>VLOOKUP(A254:A516,Sheet1!A$2:J$260,10,0)</f>
        <v>1927</v>
      </c>
      <c r="C254" t="str">
        <f>VLOOKUP(A254:A516,Sheet1!A$2:J$260,5,0)</f>
        <v>Alive</v>
      </c>
      <c r="D254" s="7" t="s">
        <v>373</v>
      </c>
      <c r="E254">
        <v>253</v>
      </c>
      <c r="J254" s="8" t="s">
        <v>325</v>
      </c>
      <c r="M254">
        <v>1</v>
      </c>
    </row>
    <row r="255" ht="15" spans="1:13">
      <c r="A255" s="6" t="s">
        <v>133</v>
      </c>
      <c r="B255">
        <f>VLOOKUP(A255:A517,Sheet1!A$2:J$260,10,0)</f>
        <v>0</v>
      </c>
      <c r="C255" t="str">
        <f>VLOOKUP(A255:A517,Sheet1!A$2:J$260,5,0)</f>
        <v>Alive</v>
      </c>
      <c r="D255" s="7" t="s">
        <v>373</v>
      </c>
      <c r="E255">
        <v>254</v>
      </c>
      <c r="J255" s="8" t="s">
        <v>230</v>
      </c>
      <c r="M255">
        <v>1</v>
      </c>
    </row>
    <row r="256" ht="15" spans="1:13">
      <c r="A256" s="6" t="s">
        <v>39</v>
      </c>
      <c r="B256">
        <f>VLOOKUP(A256:A518,Sheet1!A$2:J$260,10,0)</f>
        <v>550</v>
      </c>
      <c r="C256" t="str">
        <f>VLOOKUP(A256:A518,Sheet1!A$2:J$260,5,0)</f>
        <v>Dead</v>
      </c>
      <c r="D256" s="7" t="s">
        <v>373</v>
      </c>
      <c r="E256">
        <v>255</v>
      </c>
      <c r="J256" s="8" t="s">
        <v>278</v>
      </c>
      <c r="M256">
        <v>0</v>
      </c>
    </row>
    <row r="257" ht="15" spans="1:13">
      <c r="A257" s="6" t="s">
        <v>163</v>
      </c>
      <c r="B257">
        <f>VLOOKUP(A257:A519,Sheet1!A$2:J$260,10,0)</f>
        <v>1547</v>
      </c>
      <c r="C257" t="str">
        <f>VLOOKUP(A257:A519,Sheet1!A$2:J$260,5,0)</f>
        <v>Alive</v>
      </c>
      <c r="D257" s="7" t="s">
        <v>373</v>
      </c>
      <c r="E257">
        <v>256</v>
      </c>
      <c r="J257" s="8" t="s">
        <v>262</v>
      </c>
      <c r="M257">
        <v>1</v>
      </c>
    </row>
    <row r="258" ht="15" spans="1:13">
      <c r="A258" s="6" t="s">
        <v>264</v>
      </c>
      <c r="B258">
        <f>VLOOKUP(A258:A520,Sheet1!A$2:J$260,10,0)</f>
        <v>1108</v>
      </c>
      <c r="C258" t="str">
        <f>VLOOKUP(A258:A520,Sheet1!A$2:J$260,5,0)</f>
        <v>Alive</v>
      </c>
      <c r="D258" s="7" t="s">
        <v>373</v>
      </c>
      <c r="E258">
        <v>257</v>
      </c>
      <c r="J258" s="8" t="s">
        <v>251</v>
      </c>
      <c r="M258">
        <v>1</v>
      </c>
    </row>
    <row r="259" ht="15" spans="1:13">
      <c r="A259" s="6" t="s">
        <v>290</v>
      </c>
      <c r="B259">
        <f>VLOOKUP(A259:A521,Sheet1!A$2:J$260,10,0)</f>
        <v>133</v>
      </c>
      <c r="C259" t="str">
        <f>VLOOKUP(A259:A521,Sheet1!A$2:J$260,5,0)</f>
        <v>Alive</v>
      </c>
      <c r="D259" s="7" t="s">
        <v>373</v>
      </c>
      <c r="E259">
        <v>258</v>
      </c>
      <c r="J259" s="8" t="s">
        <v>246</v>
      </c>
      <c r="M259">
        <v>1</v>
      </c>
    </row>
    <row r="260" ht="15" spans="1:13">
      <c r="A260" s="6" t="s">
        <v>297</v>
      </c>
      <c r="B260">
        <f>VLOOKUP(A260:A522,Sheet1!A$2:J$260,10,0)</f>
        <v>407</v>
      </c>
      <c r="C260" t="str">
        <f>VLOOKUP(A260:A522,Sheet1!A$2:J$260,5,0)</f>
        <v>Alive</v>
      </c>
      <c r="D260" s="7" t="s">
        <v>373</v>
      </c>
      <c r="E260">
        <v>259</v>
      </c>
      <c r="J260" s="8" t="s">
        <v>219</v>
      </c>
      <c r="M260">
        <v>1</v>
      </c>
    </row>
    <row r="261" spans="10:10">
      <c r="J261" s="8" t="s">
        <v>257</v>
      </c>
    </row>
    <row r="262" spans="10:10">
      <c r="J262" s="8" t="s">
        <v>125</v>
      </c>
    </row>
    <row r="263" spans="10:10">
      <c r="J263" s="8" t="s">
        <v>315</v>
      </c>
    </row>
  </sheetData>
  <conditionalFormatting sqref="J$1:J$1048576">
    <cfRule type="duplicateValues" dxfId="0" priority="1"/>
  </conditionalFormatting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260"/>
  <sheetViews>
    <sheetView workbookViewId="0">
      <selection activeCell="N10" sqref="N10"/>
    </sheetView>
  </sheetViews>
  <sheetFormatPr defaultColWidth="9" defaultRowHeight="13.5"/>
  <cols>
    <col min="1" max="1" width="16.25" customWidth="1"/>
    <col min="5" max="5" width="17.25" customWidth="1"/>
    <col min="8" max="8" width="14.625" customWidth="1"/>
  </cols>
  <sheetData>
    <row r="1" ht="15" spans="1:8">
      <c r="A1" s="5" t="s">
        <v>345</v>
      </c>
      <c r="B1" s="5" t="s">
        <v>347</v>
      </c>
      <c r="C1" t="s">
        <v>9</v>
      </c>
      <c r="D1" t="s">
        <v>378</v>
      </c>
      <c r="H1" s="5"/>
    </row>
    <row r="2" ht="15" spans="1:12">
      <c r="A2" s="6" t="s">
        <v>148</v>
      </c>
      <c r="B2" s="7" t="s">
        <v>370</v>
      </c>
      <c r="C2">
        <v>1521</v>
      </c>
      <c r="D2" t="s">
        <v>105</v>
      </c>
      <c r="E2">
        <v>1</v>
      </c>
      <c r="H2" s="6" t="s">
        <v>141</v>
      </c>
      <c r="I2" s="7" t="s">
        <v>373</v>
      </c>
      <c r="J2">
        <v>1104</v>
      </c>
      <c r="K2" t="s">
        <v>105</v>
      </c>
      <c r="L2">
        <v>149</v>
      </c>
    </row>
    <row r="3" ht="15" spans="1:12">
      <c r="A3" s="6" t="s">
        <v>60</v>
      </c>
      <c r="B3" s="7" t="s">
        <v>370</v>
      </c>
      <c r="C3">
        <v>599</v>
      </c>
      <c r="D3" t="s">
        <v>17</v>
      </c>
      <c r="E3">
        <v>2</v>
      </c>
      <c r="H3" s="6" t="s">
        <v>336</v>
      </c>
      <c r="I3" s="7" t="s">
        <v>373</v>
      </c>
      <c r="J3">
        <v>959</v>
      </c>
      <c r="K3" t="s">
        <v>105</v>
      </c>
      <c r="L3">
        <v>150</v>
      </c>
    </row>
    <row r="4" ht="15" spans="1:12">
      <c r="A4" s="6" t="s">
        <v>253</v>
      </c>
      <c r="B4" s="7" t="s">
        <v>370</v>
      </c>
      <c r="C4">
        <v>1627</v>
      </c>
      <c r="D4" t="s">
        <v>17</v>
      </c>
      <c r="E4">
        <v>3</v>
      </c>
      <c r="H4" s="6" t="s">
        <v>270</v>
      </c>
      <c r="I4" s="7" t="s">
        <v>373</v>
      </c>
      <c r="J4">
        <v>2085</v>
      </c>
      <c r="K4" t="s">
        <v>105</v>
      </c>
      <c r="L4">
        <v>151</v>
      </c>
    </row>
    <row r="5" ht="15" spans="1:12">
      <c r="A5" s="6" t="s">
        <v>333</v>
      </c>
      <c r="B5" s="7" t="s">
        <v>370</v>
      </c>
      <c r="C5">
        <v>1096</v>
      </c>
      <c r="D5" t="s">
        <v>105</v>
      </c>
      <c r="E5">
        <v>4</v>
      </c>
      <c r="H5" s="6" t="s">
        <v>247</v>
      </c>
      <c r="I5" s="7" t="s">
        <v>373</v>
      </c>
      <c r="J5">
        <v>5271</v>
      </c>
      <c r="K5" t="s">
        <v>17</v>
      </c>
      <c r="L5">
        <v>152</v>
      </c>
    </row>
    <row r="6" ht="15" spans="1:12">
      <c r="A6" s="6" t="s">
        <v>223</v>
      </c>
      <c r="B6" s="7" t="s">
        <v>370</v>
      </c>
      <c r="C6">
        <v>17</v>
      </c>
      <c r="D6" t="s">
        <v>17</v>
      </c>
      <c r="E6">
        <v>5</v>
      </c>
      <c r="H6" s="6" t="s">
        <v>250</v>
      </c>
      <c r="I6" s="7" t="s">
        <v>373</v>
      </c>
      <c r="J6">
        <v>1366</v>
      </c>
      <c r="K6" t="s">
        <v>17</v>
      </c>
      <c r="L6">
        <v>153</v>
      </c>
    </row>
    <row r="7" ht="15" spans="1:12">
      <c r="A7" s="6" t="s">
        <v>99</v>
      </c>
      <c r="B7" s="7" t="s">
        <v>370</v>
      </c>
      <c r="C7">
        <v>427</v>
      </c>
      <c r="D7" t="s">
        <v>17</v>
      </c>
      <c r="E7">
        <v>6</v>
      </c>
      <c r="H7" s="6" t="s">
        <v>149</v>
      </c>
      <c r="I7" s="7" t="s">
        <v>373</v>
      </c>
      <c r="J7">
        <v>1665</v>
      </c>
      <c r="K7" t="s">
        <v>105</v>
      </c>
      <c r="L7">
        <v>154</v>
      </c>
    </row>
    <row r="8" ht="15" spans="1:12">
      <c r="A8" s="6" t="s">
        <v>236</v>
      </c>
      <c r="B8" s="7" t="s">
        <v>370</v>
      </c>
      <c r="C8">
        <v>1057</v>
      </c>
      <c r="D8" t="s">
        <v>17</v>
      </c>
      <c r="E8">
        <v>7</v>
      </c>
      <c r="H8" s="6" t="s">
        <v>185</v>
      </c>
      <c r="I8" s="7" t="s">
        <v>373</v>
      </c>
      <c r="J8">
        <v>768</v>
      </c>
      <c r="K8" t="s">
        <v>105</v>
      </c>
      <c r="L8">
        <v>155</v>
      </c>
    </row>
    <row r="9" ht="15" spans="1:12">
      <c r="A9" s="6" t="s">
        <v>100</v>
      </c>
      <c r="B9" s="7" t="s">
        <v>370</v>
      </c>
      <c r="C9">
        <v>391</v>
      </c>
      <c r="D9" t="s">
        <v>17</v>
      </c>
      <c r="E9">
        <v>8</v>
      </c>
      <c r="H9" s="6" t="s">
        <v>70</v>
      </c>
      <c r="I9" s="7" t="s">
        <v>373</v>
      </c>
      <c r="J9">
        <v>437</v>
      </c>
      <c r="K9" t="s">
        <v>17</v>
      </c>
      <c r="L9">
        <v>156</v>
      </c>
    </row>
    <row r="10" ht="15" spans="1:12">
      <c r="A10" s="6" t="s">
        <v>107</v>
      </c>
      <c r="B10" s="7" t="s">
        <v>370</v>
      </c>
      <c r="C10">
        <v>1372</v>
      </c>
      <c r="D10" t="s">
        <v>105</v>
      </c>
      <c r="E10">
        <v>9</v>
      </c>
      <c r="H10" s="6" t="s">
        <v>188</v>
      </c>
      <c r="I10" s="7" t="s">
        <v>373</v>
      </c>
      <c r="J10">
        <v>1303</v>
      </c>
      <c r="K10" t="s">
        <v>105</v>
      </c>
      <c r="L10">
        <v>157</v>
      </c>
    </row>
    <row r="11" ht="15" spans="1:12">
      <c r="A11" s="6" t="s">
        <v>267</v>
      </c>
      <c r="B11" s="7" t="s">
        <v>370</v>
      </c>
      <c r="C11">
        <v>2586</v>
      </c>
      <c r="D11" t="s">
        <v>105</v>
      </c>
      <c r="E11">
        <v>10</v>
      </c>
      <c r="H11" s="6" t="s">
        <v>268</v>
      </c>
      <c r="I11" s="7" t="s">
        <v>373</v>
      </c>
      <c r="J11">
        <v>314</v>
      </c>
      <c r="K11" t="s">
        <v>105</v>
      </c>
      <c r="L11">
        <v>158</v>
      </c>
    </row>
    <row r="12" ht="15" spans="1:12">
      <c r="A12" s="6" t="s">
        <v>40</v>
      </c>
      <c r="B12" s="7" t="s">
        <v>370</v>
      </c>
      <c r="C12">
        <v>1980</v>
      </c>
      <c r="D12" t="s">
        <v>17</v>
      </c>
      <c r="E12">
        <v>11</v>
      </c>
      <c r="H12" s="6" t="s">
        <v>322</v>
      </c>
      <c r="I12" s="7" t="s">
        <v>373</v>
      </c>
      <c r="J12">
        <v>1170</v>
      </c>
      <c r="K12" t="s">
        <v>105</v>
      </c>
      <c r="L12">
        <v>159</v>
      </c>
    </row>
    <row r="13" ht="15" spans="1:12">
      <c r="A13" s="6" t="s">
        <v>30</v>
      </c>
      <c r="B13" s="7" t="s">
        <v>370</v>
      </c>
      <c r="C13">
        <v>2034</v>
      </c>
      <c r="D13" t="s">
        <v>17</v>
      </c>
      <c r="E13">
        <v>12</v>
      </c>
      <c r="H13" s="6" t="s">
        <v>235</v>
      </c>
      <c r="I13" s="7" t="s">
        <v>373</v>
      </c>
      <c r="J13">
        <v>567</v>
      </c>
      <c r="K13" t="s">
        <v>17</v>
      </c>
      <c r="L13">
        <v>160</v>
      </c>
    </row>
    <row r="14" ht="15" spans="1:12">
      <c r="A14" s="6" t="s">
        <v>195</v>
      </c>
      <c r="B14" s="7" t="s">
        <v>370</v>
      </c>
      <c r="C14">
        <v>2901</v>
      </c>
      <c r="D14" t="s">
        <v>105</v>
      </c>
      <c r="E14">
        <v>13</v>
      </c>
      <c r="H14" s="6" t="s">
        <v>326</v>
      </c>
      <c r="I14" s="7" t="s">
        <v>373</v>
      </c>
      <c r="J14">
        <v>808</v>
      </c>
      <c r="K14" t="s">
        <v>105</v>
      </c>
      <c r="L14">
        <v>161</v>
      </c>
    </row>
    <row r="15" ht="15" spans="1:12">
      <c r="A15" s="6" t="s">
        <v>69</v>
      </c>
      <c r="B15" s="7" t="s">
        <v>370</v>
      </c>
      <c r="C15">
        <v>275</v>
      </c>
      <c r="D15" t="s">
        <v>17</v>
      </c>
      <c r="E15">
        <v>14</v>
      </c>
      <c r="H15" s="6" t="s">
        <v>342</v>
      </c>
      <c r="I15" s="7" t="s">
        <v>373</v>
      </c>
      <c r="J15">
        <v>2087</v>
      </c>
      <c r="K15" t="s">
        <v>105</v>
      </c>
      <c r="L15">
        <v>162</v>
      </c>
    </row>
    <row r="16" ht="15" spans="1:12">
      <c r="A16" s="6" t="s">
        <v>316</v>
      </c>
      <c r="B16" s="7" t="s">
        <v>370</v>
      </c>
      <c r="C16">
        <v>1492</v>
      </c>
      <c r="D16" t="s">
        <v>105</v>
      </c>
      <c r="E16">
        <v>15</v>
      </c>
      <c r="H16" s="6" t="s">
        <v>33</v>
      </c>
      <c r="I16" s="7" t="s">
        <v>373</v>
      </c>
      <c r="J16">
        <v>564</v>
      </c>
      <c r="K16" t="s">
        <v>17</v>
      </c>
      <c r="L16">
        <v>163</v>
      </c>
    </row>
    <row r="17" ht="15" spans="1:12">
      <c r="A17" s="6" t="s">
        <v>331</v>
      </c>
      <c r="B17" s="7" t="s">
        <v>370</v>
      </c>
      <c r="C17">
        <v>4150</v>
      </c>
      <c r="D17" t="s">
        <v>105</v>
      </c>
      <c r="E17">
        <v>16</v>
      </c>
      <c r="H17" s="6" t="s">
        <v>48</v>
      </c>
      <c r="I17" s="7" t="s">
        <v>373</v>
      </c>
      <c r="J17">
        <v>3069</v>
      </c>
      <c r="K17" t="s">
        <v>17</v>
      </c>
      <c r="L17">
        <v>164</v>
      </c>
    </row>
    <row r="18" ht="15" spans="1:12">
      <c r="A18" s="6" t="s">
        <v>304</v>
      </c>
      <c r="B18" s="7" t="s">
        <v>370</v>
      </c>
      <c r="C18">
        <v>1017</v>
      </c>
      <c r="D18" t="s">
        <v>105</v>
      </c>
      <c r="E18">
        <v>17</v>
      </c>
      <c r="H18" s="6" t="s">
        <v>196</v>
      </c>
      <c r="I18" s="7" t="s">
        <v>373</v>
      </c>
      <c r="J18">
        <v>2036</v>
      </c>
      <c r="K18" t="s">
        <v>105</v>
      </c>
      <c r="L18">
        <v>165</v>
      </c>
    </row>
    <row r="19" ht="15" spans="1:12">
      <c r="A19" s="6" t="s">
        <v>197</v>
      </c>
      <c r="B19" s="7" t="s">
        <v>370</v>
      </c>
      <c r="C19">
        <v>1055</v>
      </c>
      <c r="D19" t="s">
        <v>105</v>
      </c>
      <c r="E19">
        <v>18</v>
      </c>
      <c r="H19" s="6" t="s">
        <v>324</v>
      </c>
      <c r="I19" s="7" t="s">
        <v>373</v>
      </c>
      <c r="J19">
        <v>2271</v>
      </c>
      <c r="K19" t="s">
        <v>105</v>
      </c>
      <c r="L19">
        <v>166</v>
      </c>
    </row>
    <row r="20" ht="15" spans="1:12">
      <c r="A20" s="6" t="s">
        <v>125</v>
      </c>
      <c r="B20" s="7" t="s">
        <v>370</v>
      </c>
      <c r="C20">
        <v>969</v>
      </c>
      <c r="D20" t="s">
        <v>105</v>
      </c>
      <c r="E20">
        <v>19</v>
      </c>
      <c r="H20" s="6" t="s">
        <v>35</v>
      </c>
      <c r="I20" s="7" t="s">
        <v>373</v>
      </c>
      <c r="J20">
        <v>160</v>
      </c>
      <c r="K20" t="s">
        <v>17</v>
      </c>
      <c r="L20">
        <v>167</v>
      </c>
    </row>
    <row r="21" ht="15" spans="1:12">
      <c r="A21" s="6" t="s">
        <v>213</v>
      </c>
      <c r="B21" s="7" t="s">
        <v>370</v>
      </c>
      <c r="C21">
        <v>138</v>
      </c>
      <c r="D21" t="s">
        <v>17</v>
      </c>
      <c r="E21">
        <v>20</v>
      </c>
      <c r="H21" s="6" t="s">
        <v>36</v>
      </c>
      <c r="I21" s="7" t="s">
        <v>373</v>
      </c>
      <c r="J21">
        <v>191</v>
      </c>
      <c r="K21" t="s">
        <v>17</v>
      </c>
      <c r="L21">
        <v>168</v>
      </c>
    </row>
    <row r="22" ht="15" spans="1:12">
      <c r="A22" s="6" t="s">
        <v>278</v>
      </c>
      <c r="B22" s="7" t="s">
        <v>370</v>
      </c>
      <c r="C22">
        <v>2247</v>
      </c>
      <c r="D22" t="s">
        <v>105</v>
      </c>
      <c r="E22">
        <v>21</v>
      </c>
      <c r="H22" s="6" t="s">
        <v>37</v>
      </c>
      <c r="I22" s="7" t="s">
        <v>373</v>
      </c>
      <c r="J22">
        <v>846</v>
      </c>
      <c r="K22" t="s">
        <v>17</v>
      </c>
      <c r="L22">
        <v>169</v>
      </c>
    </row>
    <row r="23" ht="15" spans="1:12">
      <c r="A23" s="6" t="s">
        <v>129</v>
      </c>
      <c r="B23" s="7" t="s">
        <v>370</v>
      </c>
      <c r="C23">
        <v>2085</v>
      </c>
      <c r="D23" t="s">
        <v>105</v>
      </c>
      <c r="E23">
        <v>22</v>
      </c>
      <c r="H23" s="6" t="s">
        <v>332</v>
      </c>
      <c r="I23" s="7" t="s">
        <v>373</v>
      </c>
      <c r="J23">
        <v>261</v>
      </c>
      <c r="K23" t="s">
        <v>105</v>
      </c>
      <c r="L23">
        <v>170</v>
      </c>
    </row>
    <row r="24" ht="15" spans="1:12">
      <c r="A24" s="6" t="s">
        <v>115</v>
      </c>
      <c r="B24" s="7" t="s">
        <v>370</v>
      </c>
      <c r="C24">
        <v>1534</v>
      </c>
      <c r="D24" t="s">
        <v>105</v>
      </c>
      <c r="E24">
        <v>23</v>
      </c>
      <c r="H24" s="6" t="s">
        <v>92</v>
      </c>
      <c r="I24" s="7" t="s">
        <v>373</v>
      </c>
      <c r="J24">
        <v>295</v>
      </c>
      <c r="K24" t="s">
        <v>17</v>
      </c>
      <c r="L24">
        <v>171</v>
      </c>
    </row>
    <row r="25" ht="15" spans="1:12">
      <c r="A25" s="6" t="s">
        <v>82</v>
      </c>
      <c r="B25" s="7" t="s">
        <v>370</v>
      </c>
      <c r="C25">
        <v>1061</v>
      </c>
      <c r="D25" t="s">
        <v>17</v>
      </c>
      <c r="E25">
        <v>24</v>
      </c>
      <c r="H25" s="6" t="s">
        <v>171</v>
      </c>
      <c r="I25" s="7" t="s">
        <v>373</v>
      </c>
      <c r="J25">
        <v>2408</v>
      </c>
      <c r="K25" t="s">
        <v>105</v>
      </c>
      <c r="L25">
        <v>172</v>
      </c>
    </row>
    <row r="26" ht="15" spans="1:12">
      <c r="A26" s="6" t="s">
        <v>249</v>
      </c>
      <c r="B26" s="7" t="s">
        <v>370</v>
      </c>
      <c r="C26">
        <v>5090</v>
      </c>
      <c r="D26" t="s">
        <v>17</v>
      </c>
      <c r="E26">
        <v>25</v>
      </c>
      <c r="H26" s="6" t="s">
        <v>289</v>
      </c>
      <c r="I26" s="7" t="s">
        <v>373</v>
      </c>
      <c r="J26">
        <v>2641</v>
      </c>
      <c r="K26" t="s">
        <v>105</v>
      </c>
      <c r="L26">
        <v>173</v>
      </c>
    </row>
    <row r="27" ht="15" spans="1:12">
      <c r="A27" s="6" t="s">
        <v>306</v>
      </c>
      <c r="B27" s="7" t="s">
        <v>370</v>
      </c>
      <c r="C27">
        <v>1399</v>
      </c>
      <c r="D27" t="s">
        <v>105</v>
      </c>
      <c r="E27">
        <v>26</v>
      </c>
      <c r="H27" s="6" t="s">
        <v>62</v>
      </c>
      <c r="I27" s="7" t="s">
        <v>373</v>
      </c>
      <c r="J27">
        <v>1628</v>
      </c>
      <c r="K27" t="s">
        <v>17</v>
      </c>
      <c r="L27">
        <v>174</v>
      </c>
    </row>
    <row r="28" ht="15" spans="1:12">
      <c r="A28" s="6" t="s">
        <v>215</v>
      </c>
      <c r="B28" s="7" t="s">
        <v>370</v>
      </c>
      <c r="C28">
        <v>738</v>
      </c>
      <c r="D28" t="s">
        <v>17</v>
      </c>
      <c r="E28">
        <v>27</v>
      </c>
      <c r="H28" s="6" t="s">
        <v>86</v>
      </c>
      <c r="I28" s="7" t="s">
        <v>373</v>
      </c>
      <c r="J28">
        <v>2853</v>
      </c>
      <c r="K28" t="s">
        <v>17</v>
      </c>
      <c r="L28">
        <v>175</v>
      </c>
    </row>
    <row r="29" ht="15" spans="1:12">
      <c r="A29" s="6" t="s">
        <v>206</v>
      </c>
      <c r="B29" s="7" t="s">
        <v>370</v>
      </c>
      <c r="C29">
        <v>1073</v>
      </c>
      <c r="D29" t="s">
        <v>105</v>
      </c>
      <c r="E29">
        <v>28</v>
      </c>
      <c r="H29" s="6" t="s">
        <v>84</v>
      </c>
      <c r="I29" s="7" t="s">
        <v>373</v>
      </c>
      <c r="J29">
        <v>456</v>
      </c>
      <c r="K29" t="s">
        <v>17</v>
      </c>
      <c r="L29">
        <v>176</v>
      </c>
    </row>
    <row r="30" ht="15" spans="1:12">
      <c r="A30" s="6" t="s">
        <v>275</v>
      </c>
      <c r="B30" s="7" t="s">
        <v>370</v>
      </c>
      <c r="C30">
        <v>1400</v>
      </c>
      <c r="D30" t="s">
        <v>105</v>
      </c>
      <c r="E30">
        <v>29</v>
      </c>
      <c r="H30" s="6" t="s">
        <v>78</v>
      </c>
      <c r="I30" s="7" t="s">
        <v>373</v>
      </c>
      <c r="J30">
        <v>296</v>
      </c>
      <c r="K30" t="s">
        <v>17</v>
      </c>
      <c r="L30">
        <v>177</v>
      </c>
    </row>
    <row r="31" ht="15" spans="1:12">
      <c r="A31" s="6" t="s">
        <v>143</v>
      </c>
      <c r="B31" s="7" t="s">
        <v>370</v>
      </c>
      <c r="C31">
        <v>881</v>
      </c>
      <c r="D31" t="s">
        <v>105</v>
      </c>
      <c r="E31">
        <v>30</v>
      </c>
      <c r="H31" s="6" t="s">
        <v>108</v>
      </c>
      <c r="I31" s="7" t="s">
        <v>373</v>
      </c>
      <c r="J31">
        <v>1605</v>
      </c>
      <c r="K31" t="s">
        <v>105</v>
      </c>
      <c r="L31">
        <v>178</v>
      </c>
    </row>
    <row r="32" ht="15" spans="1:12">
      <c r="A32" s="6" t="s">
        <v>113</v>
      </c>
      <c r="B32" s="7" t="s">
        <v>370</v>
      </c>
      <c r="C32">
        <v>972</v>
      </c>
      <c r="D32" t="s">
        <v>105</v>
      </c>
      <c r="E32">
        <v>31</v>
      </c>
      <c r="H32" s="6" t="s">
        <v>198</v>
      </c>
      <c r="I32" s="7" t="s">
        <v>373</v>
      </c>
      <c r="J32">
        <v>805</v>
      </c>
      <c r="K32" t="s">
        <v>105</v>
      </c>
      <c r="L32">
        <v>179</v>
      </c>
    </row>
    <row r="33" ht="15" spans="1:12">
      <c r="A33" s="6" t="s">
        <v>65</v>
      </c>
      <c r="B33" s="7" t="s">
        <v>370</v>
      </c>
      <c r="C33">
        <v>93</v>
      </c>
      <c r="D33" t="s">
        <v>17</v>
      </c>
      <c r="E33">
        <v>32</v>
      </c>
      <c r="H33" s="6" t="s">
        <v>313</v>
      </c>
      <c r="I33" s="7" t="s">
        <v>373</v>
      </c>
      <c r="J33">
        <v>3310</v>
      </c>
      <c r="K33" t="s">
        <v>105</v>
      </c>
      <c r="L33">
        <v>180</v>
      </c>
    </row>
    <row r="34" ht="15" spans="1:12">
      <c r="A34" s="6" t="s">
        <v>293</v>
      </c>
      <c r="B34" s="7" t="s">
        <v>370</v>
      </c>
      <c r="C34">
        <v>1247</v>
      </c>
      <c r="D34" t="s">
        <v>105</v>
      </c>
      <c r="E34">
        <v>33</v>
      </c>
      <c r="H34" s="6" t="s">
        <v>337</v>
      </c>
      <c r="I34" s="7" t="s">
        <v>373</v>
      </c>
      <c r="J34">
        <v>1143</v>
      </c>
      <c r="K34" t="s">
        <v>105</v>
      </c>
      <c r="L34">
        <v>181</v>
      </c>
    </row>
    <row r="35" ht="15" spans="1:12">
      <c r="A35" s="6" t="s">
        <v>277</v>
      </c>
      <c r="B35" s="7" t="s">
        <v>370</v>
      </c>
      <c r="C35">
        <v>2381</v>
      </c>
      <c r="D35" t="s">
        <v>105</v>
      </c>
      <c r="E35">
        <v>34</v>
      </c>
      <c r="H35" s="6" t="s">
        <v>203</v>
      </c>
      <c r="I35" s="7" t="s">
        <v>373</v>
      </c>
      <c r="J35">
        <v>1138</v>
      </c>
      <c r="K35" t="s">
        <v>105</v>
      </c>
      <c r="L35">
        <v>182</v>
      </c>
    </row>
    <row r="36" ht="15" spans="1:12">
      <c r="A36" s="6" t="s">
        <v>132</v>
      </c>
      <c r="B36" s="7" t="s">
        <v>370</v>
      </c>
      <c r="C36">
        <v>2044</v>
      </c>
      <c r="D36" t="s">
        <v>105</v>
      </c>
      <c r="E36">
        <v>35</v>
      </c>
      <c r="H36" s="6" t="s">
        <v>262</v>
      </c>
      <c r="I36" s="7" t="s">
        <v>373</v>
      </c>
      <c r="J36">
        <v>2515</v>
      </c>
      <c r="K36" t="s">
        <v>105</v>
      </c>
      <c r="L36">
        <v>183</v>
      </c>
    </row>
    <row r="37" ht="15" spans="1:12">
      <c r="A37" s="6" t="s">
        <v>172</v>
      </c>
      <c r="B37" s="7" t="s">
        <v>370</v>
      </c>
      <c r="C37">
        <v>1045</v>
      </c>
      <c r="D37" t="s">
        <v>105</v>
      </c>
      <c r="E37">
        <v>36</v>
      </c>
      <c r="H37" s="6" t="s">
        <v>296</v>
      </c>
      <c r="I37" s="7" t="s">
        <v>373</v>
      </c>
      <c r="J37">
        <v>1105</v>
      </c>
      <c r="K37" t="s">
        <v>105</v>
      </c>
      <c r="L37">
        <v>184</v>
      </c>
    </row>
    <row r="38" ht="15" spans="1:12">
      <c r="A38" s="6" t="s">
        <v>234</v>
      </c>
      <c r="B38" s="7" t="s">
        <v>370</v>
      </c>
      <c r="C38">
        <v>513</v>
      </c>
      <c r="D38" t="s">
        <v>17</v>
      </c>
      <c r="E38">
        <v>37</v>
      </c>
      <c r="H38" s="6" t="s">
        <v>162</v>
      </c>
      <c r="I38" s="7" t="s">
        <v>373</v>
      </c>
      <c r="J38">
        <v>1121</v>
      </c>
      <c r="K38" t="s">
        <v>105</v>
      </c>
      <c r="L38">
        <v>185</v>
      </c>
    </row>
    <row r="39" ht="15" spans="1:12">
      <c r="A39" s="6" t="s">
        <v>164</v>
      </c>
      <c r="B39" s="7" t="s">
        <v>370</v>
      </c>
      <c r="C39">
        <v>2625</v>
      </c>
      <c r="D39" t="s">
        <v>105</v>
      </c>
      <c r="E39">
        <v>38</v>
      </c>
      <c r="H39" s="6" t="s">
        <v>209</v>
      </c>
      <c r="I39" s="7" t="s">
        <v>373</v>
      </c>
      <c r="J39">
        <v>1953</v>
      </c>
      <c r="K39" t="s">
        <v>17</v>
      </c>
      <c r="L39">
        <v>186</v>
      </c>
    </row>
    <row r="40" ht="15" spans="1:12">
      <c r="A40" s="6" t="s">
        <v>258</v>
      </c>
      <c r="B40" s="7" t="s">
        <v>370</v>
      </c>
      <c r="C40">
        <v>923</v>
      </c>
      <c r="D40" t="s">
        <v>105</v>
      </c>
      <c r="E40">
        <v>39</v>
      </c>
      <c r="H40" s="6" t="s">
        <v>315</v>
      </c>
      <c r="I40" s="7" t="s">
        <v>373</v>
      </c>
      <c r="J40">
        <v>2830</v>
      </c>
      <c r="K40" t="s">
        <v>105</v>
      </c>
      <c r="L40">
        <v>187</v>
      </c>
    </row>
    <row r="41" ht="15" spans="1:12">
      <c r="A41" s="6" t="s">
        <v>254</v>
      </c>
      <c r="B41" s="7" t="s">
        <v>370</v>
      </c>
      <c r="C41">
        <v>897</v>
      </c>
      <c r="D41" t="s">
        <v>17</v>
      </c>
      <c r="E41">
        <v>40</v>
      </c>
      <c r="H41" s="6" t="s">
        <v>222</v>
      </c>
      <c r="I41" s="7" t="s">
        <v>373</v>
      </c>
      <c r="J41">
        <v>1049</v>
      </c>
      <c r="K41" t="s">
        <v>17</v>
      </c>
      <c r="L41">
        <v>188</v>
      </c>
    </row>
    <row r="42" ht="15" spans="1:12">
      <c r="A42" s="6" t="s">
        <v>205</v>
      </c>
      <c r="B42" s="7" t="s">
        <v>370</v>
      </c>
      <c r="C42">
        <v>721</v>
      </c>
      <c r="D42" t="s">
        <v>105</v>
      </c>
      <c r="E42">
        <v>41</v>
      </c>
      <c r="H42" s="6" t="s">
        <v>340</v>
      </c>
      <c r="I42" s="7" t="s">
        <v>373</v>
      </c>
      <c r="J42">
        <v>2291</v>
      </c>
      <c r="K42" t="s">
        <v>105</v>
      </c>
      <c r="L42">
        <v>189</v>
      </c>
    </row>
    <row r="43" ht="15" spans="1:12">
      <c r="A43" s="6" t="s">
        <v>155</v>
      </c>
      <c r="B43" s="7" t="s">
        <v>370</v>
      </c>
      <c r="C43">
        <v>1885</v>
      </c>
      <c r="D43" t="s">
        <v>105</v>
      </c>
      <c r="E43">
        <v>42</v>
      </c>
      <c r="H43" s="6" t="s">
        <v>339</v>
      </c>
      <c r="I43" s="7" t="s">
        <v>373</v>
      </c>
      <c r="J43">
        <v>1892</v>
      </c>
      <c r="K43" t="s">
        <v>105</v>
      </c>
      <c r="L43">
        <v>190</v>
      </c>
    </row>
    <row r="44" ht="15" spans="1:12">
      <c r="A44" s="6" t="s">
        <v>266</v>
      </c>
      <c r="B44" s="7" t="s">
        <v>370</v>
      </c>
      <c r="C44">
        <v>1456</v>
      </c>
      <c r="D44" t="s">
        <v>105</v>
      </c>
      <c r="E44">
        <v>43</v>
      </c>
      <c r="H44" s="6" t="s">
        <v>323</v>
      </c>
      <c r="I44" s="7" t="s">
        <v>373</v>
      </c>
      <c r="J44">
        <v>4627</v>
      </c>
      <c r="K44" t="s">
        <v>105</v>
      </c>
      <c r="L44">
        <v>191</v>
      </c>
    </row>
    <row r="45" ht="15" spans="1:12">
      <c r="A45" s="6" t="s">
        <v>199</v>
      </c>
      <c r="B45" s="7" t="s">
        <v>370</v>
      </c>
      <c r="C45">
        <v>1161</v>
      </c>
      <c r="D45" t="s">
        <v>105</v>
      </c>
      <c r="E45">
        <v>44</v>
      </c>
      <c r="H45" s="6" t="s">
        <v>73</v>
      </c>
      <c r="I45" s="7" t="s">
        <v>373</v>
      </c>
      <c r="J45">
        <v>1466</v>
      </c>
      <c r="K45" t="s">
        <v>17</v>
      </c>
      <c r="L45">
        <v>192</v>
      </c>
    </row>
    <row r="46" ht="15" spans="1:12">
      <c r="A46" s="6" t="s">
        <v>145</v>
      </c>
      <c r="B46" s="7" t="s">
        <v>370</v>
      </c>
      <c r="C46">
        <v>1240</v>
      </c>
      <c r="D46" t="s">
        <v>105</v>
      </c>
      <c r="E46">
        <v>45</v>
      </c>
      <c r="H46" s="6" t="s">
        <v>153</v>
      </c>
      <c r="I46" s="7" t="s">
        <v>373</v>
      </c>
      <c r="J46">
        <v>610</v>
      </c>
      <c r="K46" t="s">
        <v>105</v>
      </c>
      <c r="L46">
        <v>193</v>
      </c>
    </row>
    <row r="47" ht="15" spans="1:12">
      <c r="A47" s="6" t="s">
        <v>192</v>
      </c>
      <c r="B47" s="7" t="s">
        <v>370</v>
      </c>
      <c r="C47">
        <v>4573</v>
      </c>
      <c r="D47" t="s">
        <v>105</v>
      </c>
      <c r="E47">
        <v>46</v>
      </c>
      <c r="H47" s="6" t="s">
        <v>279</v>
      </c>
      <c r="I47" s="7" t="s">
        <v>373</v>
      </c>
      <c r="J47">
        <v>463</v>
      </c>
      <c r="K47" t="s">
        <v>105</v>
      </c>
      <c r="L47">
        <v>194</v>
      </c>
    </row>
    <row r="48" ht="15" spans="1:12">
      <c r="A48" s="6" t="s">
        <v>300</v>
      </c>
      <c r="B48" s="7" t="s">
        <v>370</v>
      </c>
      <c r="C48">
        <v>1230</v>
      </c>
      <c r="D48" t="s">
        <v>105</v>
      </c>
      <c r="E48">
        <v>47</v>
      </c>
      <c r="H48" s="6" t="s">
        <v>295</v>
      </c>
      <c r="I48" s="7" t="s">
        <v>373</v>
      </c>
      <c r="J48">
        <v>546</v>
      </c>
      <c r="K48" t="s">
        <v>105</v>
      </c>
      <c r="L48">
        <v>195</v>
      </c>
    </row>
    <row r="49" ht="15" spans="1:12">
      <c r="A49" s="6" t="s">
        <v>252</v>
      </c>
      <c r="B49" s="7" t="s">
        <v>370</v>
      </c>
      <c r="C49">
        <v>1845</v>
      </c>
      <c r="D49" t="s">
        <v>17</v>
      </c>
      <c r="E49">
        <v>48</v>
      </c>
      <c r="H49" s="6" t="s">
        <v>221</v>
      </c>
      <c r="I49" s="7" t="s">
        <v>373</v>
      </c>
      <c r="J49">
        <v>541</v>
      </c>
      <c r="K49" t="s">
        <v>17</v>
      </c>
      <c r="L49">
        <v>196</v>
      </c>
    </row>
    <row r="50" ht="15" spans="1:12">
      <c r="A50" s="6" t="s">
        <v>101</v>
      </c>
      <c r="B50" s="7" t="s">
        <v>370</v>
      </c>
      <c r="C50">
        <v>591</v>
      </c>
      <c r="D50" t="s">
        <v>17</v>
      </c>
      <c r="E50">
        <v>49</v>
      </c>
      <c r="H50" s="6" t="s">
        <v>320</v>
      </c>
      <c r="I50" s="7" t="s">
        <v>373</v>
      </c>
      <c r="J50">
        <v>1373</v>
      </c>
      <c r="K50" t="s">
        <v>105</v>
      </c>
      <c r="L50">
        <v>197</v>
      </c>
    </row>
    <row r="51" ht="15" spans="1:12">
      <c r="A51" s="6" t="s">
        <v>177</v>
      </c>
      <c r="B51" s="7" t="s">
        <v>370</v>
      </c>
      <c r="C51">
        <v>365</v>
      </c>
      <c r="D51" t="s">
        <v>105</v>
      </c>
      <c r="E51">
        <v>50</v>
      </c>
      <c r="H51" s="6" t="s">
        <v>112</v>
      </c>
      <c r="I51" s="7" t="s">
        <v>373</v>
      </c>
      <c r="J51">
        <v>428</v>
      </c>
      <c r="K51" t="s">
        <v>105</v>
      </c>
      <c r="L51">
        <v>198</v>
      </c>
    </row>
    <row r="52" ht="15" spans="1:12">
      <c r="A52" s="6" t="s">
        <v>161</v>
      </c>
      <c r="B52" s="7" t="s">
        <v>370</v>
      </c>
      <c r="C52">
        <v>478</v>
      </c>
      <c r="D52" t="s">
        <v>105</v>
      </c>
      <c r="E52">
        <v>51</v>
      </c>
      <c r="H52" s="6" t="s">
        <v>165</v>
      </c>
      <c r="I52" s="7" t="s">
        <v>373</v>
      </c>
      <c r="J52">
        <v>1579</v>
      </c>
      <c r="K52" t="s">
        <v>105</v>
      </c>
      <c r="L52">
        <v>199</v>
      </c>
    </row>
    <row r="53" ht="15" spans="1:12">
      <c r="A53" s="6" t="s">
        <v>102</v>
      </c>
      <c r="B53" s="7" t="s">
        <v>370</v>
      </c>
      <c r="C53">
        <v>1235</v>
      </c>
      <c r="D53" t="s">
        <v>17</v>
      </c>
      <c r="E53">
        <v>52</v>
      </c>
      <c r="H53" s="6" t="s">
        <v>88</v>
      </c>
      <c r="I53" s="7" t="s">
        <v>373</v>
      </c>
      <c r="J53">
        <v>1116</v>
      </c>
      <c r="K53" t="s">
        <v>17</v>
      </c>
      <c r="L53">
        <v>200</v>
      </c>
    </row>
    <row r="54" ht="15" spans="1:12">
      <c r="A54" s="6" t="s">
        <v>106</v>
      </c>
      <c r="B54" s="7" t="s">
        <v>370</v>
      </c>
      <c r="C54">
        <v>2007</v>
      </c>
      <c r="D54" t="s">
        <v>105</v>
      </c>
      <c r="E54">
        <v>53</v>
      </c>
      <c r="H54" s="6" t="s">
        <v>328</v>
      </c>
      <c r="I54" s="7" t="s">
        <v>373</v>
      </c>
      <c r="J54">
        <v>2619</v>
      </c>
      <c r="K54" t="s">
        <v>105</v>
      </c>
      <c r="L54">
        <v>201</v>
      </c>
    </row>
    <row r="55" ht="15" spans="1:12">
      <c r="A55" s="6" t="s">
        <v>294</v>
      </c>
      <c r="B55" s="7" t="s">
        <v>370</v>
      </c>
      <c r="C55">
        <v>2369</v>
      </c>
      <c r="D55" t="s">
        <v>105</v>
      </c>
      <c r="E55">
        <v>54</v>
      </c>
      <c r="H55" s="6" t="s">
        <v>135</v>
      </c>
      <c r="I55" s="7" t="s">
        <v>373</v>
      </c>
      <c r="J55">
        <v>280</v>
      </c>
      <c r="K55" t="s">
        <v>105</v>
      </c>
      <c r="L55">
        <v>202</v>
      </c>
    </row>
    <row r="56" ht="15" spans="1:12">
      <c r="A56" s="6" t="s">
        <v>146</v>
      </c>
      <c r="B56" s="7" t="s">
        <v>370</v>
      </c>
      <c r="C56">
        <v>3156</v>
      </c>
      <c r="D56" t="s">
        <v>105</v>
      </c>
      <c r="E56">
        <v>55</v>
      </c>
      <c r="H56" s="6" t="s">
        <v>310</v>
      </c>
      <c r="I56" s="7" t="s">
        <v>373</v>
      </c>
      <c r="J56">
        <v>1092</v>
      </c>
      <c r="K56" t="s">
        <v>105</v>
      </c>
      <c r="L56">
        <v>203</v>
      </c>
    </row>
    <row r="57" ht="15" spans="1:12">
      <c r="A57" s="6" t="s">
        <v>176</v>
      </c>
      <c r="B57" s="7" t="s">
        <v>370</v>
      </c>
      <c r="C57">
        <v>3238</v>
      </c>
      <c r="D57" t="s">
        <v>105</v>
      </c>
      <c r="E57">
        <v>56</v>
      </c>
      <c r="H57" s="6" t="s">
        <v>230</v>
      </c>
      <c r="I57" s="7" t="s">
        <v>373</v>
      </c>
      <c r="J57">
        <v>1168</v>
      </c>
      <c r="K57" t="s">
        <v>17</v>
      </c>
      <c r="L57">
        <v>204</v>
      </c>
    </row>
    <row r="58" ht="15" spans="1:12">
      <c r="A58" s="6" t="s">
        <v>147</v>
      </c>
      <c r="B58" s="7" t="s">
        <v>370</v>
      </c>
      <c r="C58">
        <v>3102</v>
      </c>
      <c r="D58" t="s">
        <v>105</v>
      </c>
      <c r="E58">
        <v>57</v>
      </c>
      <c r="H58" s="6" t="s">
        <v>59</v>
      </c>
      <c r="I58" s="7" t="s">
        <v>373</v>
      </c>
      <c r="J58">
        <v>978</v>
      </c>
      <c r="K58" t="s">
        <v>17</v>
      </c>
      <c r="L58">
        <v>205</v>
      </c>
    </row>
    <row r="59" ht="15" spans="1:12">
      <c r="A59" s="6" t="s">
        <v>284</v>
      </c>
      <c r="B59" s="7" t="s">
        <v>370</v>
      </c>
      <c r="C59">
        <v>928</v>
      </c>
      <c r="D59" t="s">
        <v>105</v>
      </c>
      <c r="E59">
        <v>58</v>
      </c>
      <c r="H59" s="6" t="s">
        <v>152</v>
      </c>
      <c r="I59" s="7" t="s">
        <v>373</v>
      </c>
      <c r="J59">
        <v>1548</v>
      </c>
      <c r="K59" t="s">
        <v>105</v>
      </c>
      <c r="L59">
        <v>206</v>
      </c>
    </row>
    <row r="60" ht="15" spans="1:12">
      <c r="A60" s="6" t="s">
        <v>239</v>
      </c>
      <c r="B60" s="7" t="s">
        <v>370</v>
      </c>
      <c r="C60">
        <v>2575</v>
      </c>
      <c r="D60" t="s">
        <v>17</v>
      </c>
      <c r="E60">
        <v>59</v>
      </c>
      <c r="H60" s="6" t="s">
        <v>114</v>
      </c>
      <c r="I60" s="7" t="s">
        <v>373</v>
      </c>
      <c r="J60">
        <v>2169</v>
      </c>
      <c r="K60" t="s">
        <v>105</v>
      </c>
      <c r="L60">
        <v>207</v>
      </c>
    </row>
    <row r="61" ht="15" spans="1:12">
      <c r="A61" s="6" t="s">
        <v>263</v>
      </c>
      <c r="B61" s="7" t="s">
        <v>370</v>
      </c>
      <c r="C61">
        <v>1495</v>
      </c>
      <c r="D61" t="s">
        <v>105</v>
      </c>
      <c r="E61">
        <v>60</v>
      </c>
      <c r="H61" s="6" t="s">
        <v>140</v>
      </c>
      <c r="I61" s="7" t="s">
        <v>373</v>
      </c>
      <c r="J61">
        <v>947</v>
      </c>
      <c r="K61" t="s">
        <v>105</v>
      </c>
      <c r="L61">
        <v>208</v>
      </c>
    </row>
    <row r="62" ht="15" spans="1:12">
      <c r="A62" s="6" t="s">
        <v>68</v>
      </c>
      <c r="B62" s="7" t="s">
        <v>370</v>
      </c>
      <c r="C62">
        <v>607</v>
      </c>
      <c r="D62" t="s">
        <v>17</v>
      </c>
      <c r="E62">
        <v>61</v>
      </c>
      <c r="H62" s="6" t="s">
        <v>325</v>
      </c>
      <c r="I62" s="7" t="s">
        <v>373</v>
      </c>
      <c r="J62">
        <v>505</v>
      </c>
      <c r="K62" t="s">
        <v>105</v>
      </c>
      <c r="L62">
        <v>209</v>
      </c>
    </row>
    <row r="63" ht="15" spans="1:12">
      <c r="A63" s="6" t="s">
        <v>210</v>
      </c>
      <c r="B63" s="7" t="s">
        <v>370</v>
      </c>
      <c r="C63">
        <v>308</v>
      </c>
      <c r="D63" t="s">
        <v>17</v>
      </c>
      <c r="E63">
        <v>62</v>
      </c>
      <c r="H63" s="6" t="s">
        <v>130</v>
      </c>
      <c r="I63" s="7" t="s">
        <v>373</v>
      </c>
      <c r="J63">
        <v>618</v>
      </c>
      <c r="K63" t="s">
        <v>105</v>
      </c>
      <c r="L63">
        <v>210</v>
      </c>
    </row>
    <row r="64" ht="15" spans="1:12">
      <c r="A64" s="6" t="s">
        <v>220</v>
      </c>
      <c r="B64" s="7" t="s">
        <v>370</v>
      </c>
      <c r="C64">
        <v>139</v>
      </c>
      <c r="D64" t="s">
        <v>17</v>
      </c>
      <c r="E64">
        <v>63</v>
      </c>
      <c r="H64" s="6" t="s">
        <v>260</v>
      </c>
      <c r="I64" s="7" t="s">
        <v>373</v>
      </c>
      <c r="J64">
        <v>471</v>
      </c>
      <c r="K64" t="s">
        <v>105</v>
      </c>
      <c r="L64">
        <v>211</v>
      </c>
    </row>
    <row r="65" ht="15" spans="1:12">
      <c r="A65" s="6" t="s">
        <v>217</v>
      </c>
      <c r="B65" s="7" t="s">
        <v>370</v>
      </c>
      <c r="C65">
        <v>384</v>
      </c>
      <c r="D65" t="s">
        <v>17</v>
      </c>
      <c r="E65">
        <v>64</v>
      </c>
      <c r="H65" s="6" t="s">
        <v>321</v>
      </c>
      <c r="I65" s="7" t="s">
        <v>373</v>
      </c>
      <c r="J65">
        <v>1126</v>
      </c>
      <c r="K65" t="s">
        <v>105</v>
      </c>
      <c r="L65">
        <v>212</v>
      </c>
    </row>
    <row r="66" ht="15" spans="1:12">
      <c r="A66" s="6" t="s">
        <v>173</v>
      </c>
      <c r="B66" s="7" t="s">
        <v>370</v>
      </c>
      <c r="C66">
        <v>1013</v>
      </c>
      <c r="D66" t="s">
        <v>105</v>
      </c>
      <c r="E66">
        <v>65</v>
      </c>
      <c r="H66" s="6" t="s">
        <v>214</v>
      </c>
      <c r="I66" s="7" t="s">
        <v>373</v>
      </c>
      <c r="J66">
        <v>25</v>
      </c>
      <c r="K66" t="s">
        <v>17</v>
      </c>
      <c r="L66">
        <v>213</v>
      </c>
    </row>
    <row r="67" ht="15" spans="1:12">
      <c r="A67" s="6" t="s">
        <v>282</v>
      </c>
      <c r="B67" s="7" t="s">
        <v>370</v>
      </c>
      <c r="C67">
        <v>594</v>
      </c>
      <c r="D67" t="s">
        <v>105</v>
      </c>
      <c r="E67">
        <v>66</v>
      </c>
      <c r="H67" s="6" t="s">
        <v>184</v>
      </c>
      <c r="I67" s="7" t="s">
        <v>373</v>
      </c>
      <c r="J67">
        <v>298</v>
      </c>
      <c r="K67" t="s">
        <v>105</v>
      </c>
      <c r="L67">
        <v>214</v>
      </c>
    </row>
    <row r="68" ht="15" spans="1:12">
      <c r="A68" s="6" t="s">
        <v>261</v>
      </c>
      <c r="B68" s="7" t="s">
        <v>370</v>
      </c>
      <c r="C68">
        <v>98</v>
      </c>
      <c r="D68" t="s">
        <v>105</v>
      </c>
      <c r="E68">
        <v>67</v>
      </c>
      <c r="H68" s="6" t="s">
        <v>229</v>
      </c>
      <c r="I68" s="7" t="s">
        <v>373</v>
      </c>
      <c r="J68">
        <v>2448</v>
      </c>
      <c r="K68" t="s">
        <v>17</v>
      </c>
      <c r="L68">
        <v>215</v>
      </c>
    </row>
    <row r="69" ht="15" spans="1:12">
      <c r="A69" s="6" t="s">
        <v>97</v>
      </c>
      <c r="B69" s="7" t="s">
        <v>370</v>
      </c>
      <c r="C69">
        <v>1129</v>
      </c>
      <c r="D69" t="s">
        <v>17</v>
      </c>
      <c r="E69">
        <v>68</v>
      </c>
      <c r="H69" s="6" t="s">
        <v>287</v>
      </c>
      <c r="I69" s="7" t="s">
        <v>373</v>
      </c>
      <c r="J69">
        <v>819</v>
      </c>
      <c r="K69" t="s">
        <v>105</v>
      </c>
      <c r="L69">
        <v>216</v>
      </c>
    </row>
    <row r="70" ht="15" spans="1:12">
      <c r="A70" s="6" t="s">
        <v>301</v>
      </c>
      <c r="B70" s="7" t="s">
        <v>370</v>
      </c>
      <c r="C70">
        <v>4845</v>
      </c>
      <c r="D70" t="s">
        <v>105</v>
      </c>
      <c r="E70">
        <v>69</v>
      </c>
      <c r="H70" s="6" t="s">
        <v>305</v>
      </c>
      <c r="I70" s="7" t="s">
        <v>373</v>
      </c>
      <c r="J70">
        <v>42</v>
      </c>
      <c r="K70" t="s">
        <v>105</v>
      </c>
      <c r="L70">
        <v>217</v>
      </c>
    </row>
    <row r="71" ht="15" spans="1:12">
      <c r="A71" s="6" t="s">
        <v>200</v>
      </c>
      <c r="B71" s="7" t="s">
        <v>370</v>
      </c>
      <c r="C71">
        <v>688</v>
      </c>
      <c r="D71" t="s">
        <v>105</v>
      </c>
      <c r="E71">
        <v>70</v>
      </c>
      <c r="H71" s="6" t="s">
        <v>190</v>
      </c>
      <c r="I71" s="7" t="s">
        <v>373</v>
      </c>
      <c r="J71">
        <v>605</v>
      </c>
      <c r="K71" t="s">
        <v>105</v>
      </c>
      <c r="L71">
        <v>218</v>
      </c>
    </row>
    <row r="72" ht="15" spans="1:12">
      <c r="A72" s="6" t="s">
        <v>338</v>
      </c>
      <c r="B72" s="7" t="s">
        <v>370</v>
      </c>
      <c r="C72">
        <v>1891</v>
      </c>
      <c r="D72" t="s">
        <v>105</v>
      </c>
      <c r="E72">
        <v>71</v>
      </c>
      <c r="H72" s="6" t="s">
        <v>43</v>
      </c>
      <c r="I72" s="7" t="s">
        <v>373</v>
      </c>
      <c r="J72">
        <v>767</v>
      </c>
      <c r="K72" t="s">
        <v>17</v>
      </c>
      <c r="L72">
        <v>219</v>
      </c>
    </row>
    <row r="73" ht="15" spans="1:12">
      <c r="A73" s="6" t="s">
        <v>219</v>
      </c>
      <c r="B73" s="7" t="s">
        <v>370</v>
      </c>
      <c r="C73">
        <v>1041</v>
      </c>
      <c r="D73" t="s">
        <v>17</v>
      </c>
      <c r="E73">
        <v>72</v>
      </c>
      <c r="H73" s="6" t="s">
        <v>144</v>
      </c>
      <c r="I73" s="7" t="s">
        <v>373</v>
      </c>
      <c r="J73">
        <v>1590</v>
      </c>
      <c r="K73" t="s">
        <v>105</v>
      </c>
      <c r="L73">
        <v>220</v>
      </c>
    </row>
    <row r="74" ht="15" spans="1:12">
      <c r="A74" s="6" t="s">
        <v>72</v>
      </c>
      <c r="B74" s="7" t="s">
        <v>370</v>
      </c>
      <c r="C74">
        <v>946</v>
      </c>
      <c r="D74" t="s">
        <v>17</v>
      </c>
      <c r="E74">
        <v>73</v>
      </c>
      <c r="H74" s="6" t="s">
        <v>80</v>
      </c>
      <c r="I74" s="7" t="s">
        <v>373</v>
      </c>
      <c r="J74">
        <v>858</v>
      </c>
      <c r="K74" t="s">
        <v>17</v>
      </c>
      <c r="L74">
        <v>221</v>
      </c>
    </row>
    <row r="75" ht="15" spans="1:12">
      <c r="A75" s="6" t="s">
        <v>259</v>
      </c>
      <c r="B75" s="7" t="s">
        <v>370</v>
      </c>
      <c r="C75">
        <v>0</v>
      </c>
      <c r="D75" t="s">
        <v>105</v>
      </c>
      <c r="E75">
        <v>74</v>
      </c>
      <c r="H75" s="6" t="s">
        <v>334</v>
      </c>
      <c r="I75" s="7" t="s">
        <v>373</v>
      </c>
      <c r="J75">
        <v>5204</v>
      </c>
      <c r="K75" t="s">
        <v>105</v>
      </c>
      <c r="L75">
        <v>222</v>
      </c>
    </row>
    <row r="76" ht="15" spans="1:12">
      <c r="A76" s="6" t="s">
        <v>187</v>
      </c>
      <c r="B76" s="7" t="s">
        <v>370</v>
      </c>
      <c r="C76">
        <v>456</v>
      </c>
      <c r="D76" t="s">
        <v>105</v>
      </c>
      <c r="E76">
        <v>75</v>
      </c>
      <c r="H76" s="6" t="s">
        <v>256</v>
      </c>
      <c r="I76" s="7" t="s">
        <v>373</v>
      </c>
      <c r="J76">
        <v>413</v>
      </c>
      <c r="K76" t="s">
        <v>17</v>
      </c>
      <c r="L76">
        <v>223</v>
      </c>
    </row>
    <row r="77" ht="15" spans="1:12">
      <c r="A77" s="6" t="s">
        <v>298</v>
      </c>
      <c r="B77" s="7" t="s">
        <v>370</v>
      </c>
      <c r="C77">
        <v>547</v>
      </c>
      <c r="D77" t="s">
        <v>105</v>
      </c>
      <c r="E77">
        <v>76</v>
      </c>
      <c r="H77" s="6" t="s">
        <v>311</v>
      </c>
      <c r="I77" s="7" t="s">
        <v>373</v>
      </c>
      <c r="J77">
        <v>2615</v>
      </c>
      <c r="K77" t="s">
        <v>105</v>
      </c>
      <c r="L77">
        <v>224</v>
      </c>
    </row>
    <row r="78" ht="15" spans="1:12">
      <c r="A78" s="6" t="s">
        <v>224</v>
      </c>
      <c r="B78" s="7" t="s">
        <v>370</v>
      </c>
      <c r="C78">
        <v>321</v>
      </c>
      <c r="D78" t="s">
        <v>17</v>
      </c>
      <c r="E78">
        <v>77</v>
      </c>
      <c r="H78" s="6" t="s">
        <v>119</v>
      </c>
      <c r="I78" s="7" t="s">
        <v>373</v>
      </c>
      <c r="J78">
        <v>499</v>
      </c>
      <c r="K78" t="s">
        <v>105</v>
      </c>
      <c r="L78">
        <v>225</v>
      </c>
    </row>
    <row r="79" ht="15" spans="1:12">
      <c r="A79" s="6" t="s">
        <v>244</v>
      </c>
      <c r="B79" s="7" t="s">
        <v>370</v>
      </c>
      <c r="C79">
        <v>193</v>
      </c>
      <c r="D79" t="s">
        <v>17</v>
      </c>
      <c r="E79">
        <v>78</v>
      </c>
      <c r="H79" s="6" t="s">
        <v>38</v>
      </c>
      <c r="I79" s="7" t="s">
        <v>373</v>
      </c>
      <c r="J79">
        <v>119</v>
      </c>
      <c r="K79" t="s">
        <v>17</v>
      </c>
      <c r="L79">
        <v>226</v>
      </c>
    </row>
    <row r="80" ht="15" spans="1:12">
      <c r="A80" s="6" t="s">
        <v>257</v>
      </c>
      <c r="B80" s="7" t="s">
        <v>370</v>
      </c>
      <c r="C80">
        <v>2464</v>
      </c>
      <c r="D80" t="s">
        <v>17</v>
      </c>
      <c r="E80">
        <v>79</v>
      </c>
      <c r="H80" s="6" t="s">
        <v>271</v>
      </c>
      <c r="I80" s="7" t="s">
        <v>373</v>
      </c>
      <c r="J80">
        <v>3080</v>
      </c>
      <c r="K80" t="s">
        <v>105</v>
      </c>
      <c r="L80">
        <v>227</v>
      </c>
    </row>
    <row r="81" ht="15" spans="1:12">
      <c r="A81" s="6" t="s">
        <v>180</v>
      </c>
      <c r="B81" s="7" t="s">
        <v>370</v>
      </c>
      <c r="C81">
        <v>813</v>
      </c>
      <c r="D81" t="s">
        <v>105</v>
      </c>
      <c r="E81">
        <v>80</v>
      </c>
      <c r="H81" s="6" t="s">
        <v>178</v>
      </c>
      <c r="I81" s="7" t="s">
        <v>373</v>
      </c>
      <c r="J81">
        <v>1622</v>
      </c>
      <c r="K81" t="s">
        <v>105</v>
      </c>
      <c r="L81">
        <v>228</v>
      </c>
    </row>
    <row r="82" ht="15" spans="1:12">
      <c r="A82" s="6" t="s">
        <v>126</v>
      </c>
      <c r="B82" s="7" t="s">
        <v>370</v>
      </c>
      <c r="C82">
        <v>637</v>
      </c>
      <c r="D82" t="s">
        <v>105</v>
      </c>
      <c r="E82">
        <v>81</v>
      </c>
      <c r="H82" s="6" t="s">
        <v>160</v>
      </c>
      <c r="I82" s="7" t="s">
        <v>373</v>
      </c>
      <c r="J82">
        <v>3765</v>
      </c>
      <c r="K82" t="s">
        <v>105</v>
      </c>
      <c r="L82">
        <v>229</v>
      </c>
    </row>
    <row r="83" ht="15" spans="1:12">
      <c r="A83" s="6" t="s">
        <v>98</v>
      </c>
      <c r="B83" s="7" t="s">
        <v>370</v>
      </c>
      <c r="C83">
        <v>1424</v>
      </c>
      <c r="D83" t="s">
        <v>17</v>
      </c>
      <c r="E83">
        <v>82</v>
      </c>
      <c r="H83" s="6" t="s">
        <v>120</v>
      </c>
      <c r="I83" s="7" t="s">
        <v>373</v>
      </c>
      <c r="J83">
        <v>528</v>
      </c>
      <c r="K83" t="s">
        <v>105</v>
      </c>
      <c r="L83">
        <v>230</v>
      </c>
    </row>
    <row r="84" ht="15" spans="1:12">
      <c r="A84" s="6" t="s">
        <v>56</v>
      </c>
      <c r="B84" s="7" t="s">
        <v>370</v>
      </c>
      <c r="C84">
        <v>1478</v>
      </c>
      <c r="D84" t="s">
        <v>17</v>
      </c>
      <c r="E84">
        <v>83</v>
      </c>
      <c r="H84" s="6" t="s">
        <v>272</v>
      </c>
      <c r="I84" s="7" t="s">
        <v>373</v>
      </c>
      <c r="J84">
        <v>499</v>
      </c>
      <c r="K84" t="s">
        <v>105</v>
      </c>
      <c r="L84">
        <v>231</v>
      </c>
    </row>
    <row r="85" ht="15" spans="1:12">
      <c r="A85" s="6" t="s">
        <v>174</v>
      </c>
      <c r="B85" s="7" t="s">
        <v>370</v>
      </c>
      <c r="C85">
        <v>3964</v>
      </c>
      <c r="D85" t="s">
        <v>105</v>
      </c>
      <c r="E85">
        <v>84</v>
      </c>
      <c r="H85" s="6" t="s">
        <v>41</v>
      </c>
      <c r="I85" s="7" t="s">
        <v>373</v>
      </c>
      <c r="J85">
        <v>1332</v>
      </c>
      <c r="K85" t="s">
        <v>17</v>
      </c>
      <c r="L85">
        <v>232</v>
      </c>
    </row>
    <row r="86" ht="15" spans="1:12">
      <c r="A86" s="6" t="s">
        <v>240</v>
      </c>
      <c r="B86" s="7" t="s">
        <v>370</v>
      </c>
      <c r="C86">
        <v>3862</v>
      </c>
      <c r="D86" t="s">
        <v>17</v>
      </c>
      <c r="E86">
        <v>85</v>
      </c>
      <c r="H86" s="6" t="s">
        <v>327</v>
      </c>
      <c r="I86" s="7" t="s">
        <v>373</v>
      </c>
      <c r="J86">
        <v>356</v>
      </c>
      <c r="K86" t="s">
        <v>105</v>
      </c>
      <c r="L86">
        <v>233</v>
      </c>
    </row>
    <row r="87" ht="15" spans="1:12">
      <c r="A87" s="6" t="s">
        <v>255</v>
      </c>
      <c r="B87" s="7" t="s">
        <v>370</v>
      </c>
      <c r="C87">
        <v>320</v>
      </c>
      <c r="D87" t="s">
        <v>17</v>
      </c>
      <c r="E87">
        <v>86</v>
      </c>
      <c r="H87" s="6" t="s">
        <v>189</v>
      </c>
      <c r="I87" s="7" t="s">
        <v>373</v>
      </c>
      <c r="J87">
        <v>15</v>
      </c>
      <c r="K87" t="s">
        <v>105</v>
      </c>
      <c r="L87">
        <v>234</v>
      </c>
    </row>
    <row r="88" ht="15" spans="1:12">
      <c r="A88" s="6" t="s">
        <v>280</v>
      </c>
      <c r="B88" s="7" t="s">
        <v>370</v>
      </c>
      <c r="C88">
        <v>22</v>
      </c>
      <c r="D88" t="s">
        <v>105</v>
      </c>
      <c r="E88">
        <v>87</v>
      </c>
      <c r="H88" s="6" t="s">
        <v>309</v>
      </c>
      <c r="I88" s="7" t="s">
        <v>373</v>
      </c>
      <c r="J88">
        <v>661</v>
      </c>
      <c r="K88" t="s">
        <v>105</v>
      </c>
      <c r="L88">
        <v>235</v>
      </c>
    </row>
    <row r="89" ht="15" spans="1:12">
      <c r="A89" s="6" t="s">
        <v>292</v>
      </c>
      <c r="B89" s="7" t="s">
        <v>370</v>
      </c>
      <c r="C89">
        <v>510</v>
      </c>
      <c r="D89" t="s">
        <v>105</v>
      </c>
      <c r="E89">
        <v>88</v>
      </c>
      <c r="H89" s="6" t="s">
        <v>186</v>
      </c>
      <c r="I89" s="7" t="s">
        <v>373</v>
      </c>
      <c r="J89">
        <v>681</v>
      </c>
      <c r="K89" t="s">
        <v>105</v>
      </c>
      <c r="L89">
        <v>236</v>
      </c>
    </row>
    <row r="90" ht="15" spans="1:12">
      <c r="A90" s="6" t="s">
        <v>128</v>
      </c>
      <c r="B90" s="7" t="s">
        <v>370</v>
      </c>
      <c r="C90">
        <v>576</v>
      </c>
      <c r="D90" t="s">
        <v>105</v>
      </c>
      <c r="E90">
        <v>89</v>
      </c>
      <c r="H90" s="6" t="s">
        <v>158</v>
      </c>
      <c r="I90" s="7" t="s">
        <v>373</v>
      </c>
      <c r="J90">
        <v>352</v>
      </c>
      <c r="K90" t="s">
        <v>105</v>
      </c>
      <c r="L90">
        <v>237</v>
      </c>
    </row>
    <row r="91" ht="15" spans="1:12">
      <c r="A91" s="6" t="s">
        <v>302</v>
      </c>
      <c r="B91" s="7" t="s">
        <v>370</v>
      </c>
      <c r="C91">
        <v>771</v>
      </c>
      <c r="D91" t="s">
        <v>105</v>
      </c>
      <c r="E91">
        <v>90</v>
      </c>
      <c r="H91" s="6" t="s">
        <v>265</v>
      </c>
      <c r="I91" s="7" t="s">
        <v>373</v>
      </c>
      <c r="J91">
        <v>3740</v>
      </c>
      <c r="K91" t="s">
        <v>105</v>
      </c>
      <c r="L91">
        <v>238</v>
      </c>
    </row>
    <row r="92" ht="15" spans="1:12">
      <c r="A92" s="6" t="s">
        <v>170</v>
      </c>
      <c r="B92" s="7" t="s">
        <v>370</v>
      </c>
      <c r="C92">
        <v>326</v>
      </c>
      <c r="D92" t="s">
        <v>105</v>
      </c>
      <c r="E92">
        <v>91</v>
      </c>
      <c r="H92" s="6" t="s">
        <v>231</v>
      </c>
      <c r="I92" s="7" t="s">
        <v>373</v>
      </c>
      <c r="J92">
        <v>1142</v>
      </c>
      <c r="K92" t="s">
        <v>17</v>
      </c>
      <c r="L92">
        <v>239</v>
      </c>
    </row>
    <row r="93" ht="15" spans="1:12">
      <c r="A93" s="6" t="s">
        <v>85</v>
      </c>
      <c r="B93" s="7" t="s">
        <v>370</v>
      </c>
      <c r="C93">
        <v>146</v>
      </c>
      <c r="D93" t="s">
        <v>17</v>
      </c>
      <c r="E93">
        <v>92</v>
      </c>
      <c r="H93" s="6" t="s">
        <v>246</v>
      </c>
      <c r="I93" s="7" t="s">
        <v>373</v>
      </c>
      <c r="J93">
        <v>550</v>
      </c>
      <c r="K93" t="s">
        <v>17</v>
      </c>
      <c r="L93">
        <v>240</v>
      </c>
    </row>
    <row r="94" ht="15" spans="1:12">
      <c r="A94" s="6" t="s">
        <v>42</v>
      </c>
      <c r="B94" s="7" t="s">
        <v>370</v>
      </c>
      <c r="C94">
        <v>1164</v>
      </c>
      <c r="D94" t="s">
        <v>17</v>
      </c>
      <c r="E94">
        <v>93</v>
      </c>
      <c r="H94" s="6" t="s">
        <v>64</v>
      </c>
      <c r="I94" s="7" t="s">
        <v>373</v>
      </c>
      <c r="J94">
        <v>550</v>
      </c>
      <c r="K94" t="s">
        <v>17</v>
      </c>
      <c r="L94">
        <v>241</v>
      </c>
    </row>
    <row r="95" ht="15" spans="1:12">
      <c r="A95" s="6" t="s">
        <v>237</v>
      </c>
      <c r="B95" s="7" t="s">
        <v>370</v>
      </c>
      <c r="C95">
        <v>1991</v>
      </c>
      <c r="D95" t="s">
        <v>17</v>
      </c>
      <c r="E95">
        <v>94</v>
      </c>
      <c r="H95" s="6" t="s">
        <v>314</v>
      </c>
      <c r="I95" s="7" t="s">
        <v>373</v>
      </c>
      <c r="J95">
        <v>1092</v>
      </c>
      <c r="K95" t="s">
        <v>105</v>
      </c>
      <c r="L95">
        <v>242</v>
      </c>
    </row>
    <row r="96" ht="15" spans="1:12">
      <c r="A96" s="6" t="s">
        <v>233</v>
      </c>
      <c r="B96" s="7" t="s">
        <v>370</v>
      </c>
      <c r="C96">
        <v>688</v>
      </c>
      <c r="D96" t="s">
        <v>17</v>
      </c>
      <c r="E96">
        <v>95</v>
      </c>
      <c r="H96" s="6" t="s">
        <v>308</v>
      </c>
      <c r="I96" s="7" t="s">
        <v>373</v>
      </c>
      <c r="J96">
        <v>5723</v>
      </c>
      <c r="K96" t="s">
        <v>105</v>
      </c>
      <c r="L96">
        <v>243</v>
      </c>
    </row>
    <row r="97" ht="15" spans="1:12">
      <c r="A97" s="6" t="s">
        <v>136</v>
      </c>
      <c r="B97" s="7" t="s">
        <v>370</v>
      </c>
      <c r="C97">
        <v>261</v>
      </c>
      <c r="D97" t="s">
        <v>17</v>
      </c>
      <c r="E97">
        <v>96</v>
      </c>
      <c r="H97" s="6" t="s">
        <v>168</v>
      </c>
      <c r="I97" s="7" t="s">
        <v>373</v>
      </c>
      <c r="J97">
        <v>3406</v>
      </c>
      <c r="K97" t="s">
        <v>105</v>
      </c>
      <c r="L97">
        <v>244</v>
      </c>
    </row>
    <row r="98" ht="15" spans="1:12">
      <c r="A98" s="6" t="s">
        <v>251</v>
      </c>
      <c r="B98" s="7" t="s">
        <v>370</v>
      </c>
      <c r="C98">
        <v>24</v>
      </c>
      <c r="D98" t="s">
        <v>17</v>
      </c>
      <c r="E98">
        <v>97</v>
      </c>
      <c r="H98" s="6" t="s">
        <v>318</v>
      </c>
      <c r="I98" s="7" t="s">
        <v>373</v>
      </c>
      <c r="J98">
        <v>533</v>
      </c>
      <c r="K98" t="s">
        <v>105</v>
      </c>
      <c r="L98">
        <v>245</v>
      </c>
    </row>
    <row r="99" ht="15" spans="1:12">
      <c r="A99" s="6" t="s">
        <v>179</v>
      </c>
      <c r="B99" s="7" t="s">
        <v>370</v>
      </c>
      <c r="C99">
        <v>1379</v>
      </c>
      <c r="D99" t="s">
        <v>105</v>
      </c>
      <c r="E99">
        <v>98</v>
      </c>
      <c r="H99" s="6" t="s">
        <v>307</v>
      </c>
      <c r="I99" s="7" t="s">
        <v>373</v>
      </c>
      <c r="J99">
        <v>402</v>
      </c>
      <c r="K99" t="s">
        <v>105</v>
      </c>
      <c r="L99">
        <v>246</v>
      </c>
    </row>
    <row r="100" ht="15" spans="1:12">
      <c r="A100" s="6" t="s">
        <v>103</v>
      </c>
      <c r="B100" s="7" t="s">
        <v>370</v>
      </c>
      <c r="C100">
        <v>583</v>
      </c>
      <c r="D100" t="s">
        <v>105</v>
      </c>
      <c r="E100">
        <v>99</v>
      </c>
      <c r="H100" s="6" t="s">
        <v>117</v>
      </c>
      <c r="I100" s="7" t="s">
        <v>373</v>
      </c>
      <c r="J100">
        <v>0</v>
      </c>
      <c r="K100" t="s">
        <v>105</v>
      </c>
      <c r="L100">
        <v>247</v>
      </c>
    </row>
    <row r="101" ht="15" spans="1:12">
      <c r="A101" s="6" t="s">
        <v>218</v>
      </c>
      <c r="B101" s="7" t="s">
        <v>370</v>
      </c>
      <c r="C101">
        <v>1140</v>
      </c>
      <c r="D101" t="s">
        <v>17</v>
      </c>
      <c r="E101">
        <v>100</v>
      </c>
      <c r="H101" s="6" t="s">
        <v>154</v>
      </c>
      <c r="I101" s="7" t="s">
        <v>373</v>
      </c>
      <c r="J101">
        <v>796</v>
      </c>
      <c r="K101" t="s">
        <v>105</v>
      </c>
      <c r="L101">
        <v>248</v>
      </c>
    </row>
    <row r="102" ht="15" spans="1:12">
      <c r="A102" s="6" t="s">
        <v>50</v>
      </c>
      <c r="B102" s="7" t="s">
        <v>370</v>
      </c>
      <c r="C102">
        <v>1816</v>
      </c>
      <c r="D102" t="s">
        <v>17</v>
      </c>
      <c r="E102">
        <v>101</v>
      </c>
      <c r="H102" s="6" t="s">
        <v>329</v>
      </c>
      <c r="I102" s="7" t="s">
        <v>373</v>
      </c>
      <c r="J102">
        <v>379</v>
      </c>
      <c r="K102" t="s">
        <v>105</v>
      </c>
      <c r="L102">
        <v>249</v>
      </c>
    </row>
    <row r="103" ht="15" spans="1:12">
      <c r="A103" s="6" t="s">
        <v>121</v>
      </c>
      <c r="B103" s="7" t="s">
        <v>370</v>
      </c>
      <c r="C103">
        <v>486</v>
      </c>
      <c r="D103" t="s">
        <v>105</v>
      </c>
      <c r="E103">
        <v>102</v>
      </c>
      <c r="H103" s="6" t="s">
        <v>71</v>
      </c>
      <c r="I103" s="7" t="s">
        <v>373</v>
      </c>
      <c r="J103">
        <v>363</v>
      </c>
      <c r="K103" t="s">
        <v>17</v>
      </c>
      <c r="L103">
        <v>250</v>
      </c>
    </row>
    <row r="104" ht="15" spans="1:12">
      <c r="A104" s="6"/>
      <c r="B104" s="7"/>
      <c r="H104" s="6" t="s">
        <v>166</v>
      </c>
      <c r="I104" s="7" t="s">
        <v>373</v>
      </c>
      <c r="J104">
        <v>2579</v>
      </c>
      <c r="K104" t="s">
        <v>105</v>
      </c>
      <c r="L104">
        <v>251</v>
      </c>
    </row>
    <row r="105" ht="15" spans="1:12">
      <c r="A105" s="6"/>
      <c r="B105" s="7"/>
      <c r="H105" s="6" t="s">
        <v>90</v>
      </c>
      <c r="I105" s="7" t="s">
        <v>373</v>
      </c>
      <c r="J105">
        <v>1722</v>
      </c>
      <c r="K105" t="s">
        <v>17</v>
      </c>
      <c r="L105">
        <v>252</v>
      </c>
    </row>
    <row r="106" ht="15" spans="1:12">
      <c r="A106" s="6"/>
      <c r="B106" s="7"/>
      <c r="H106" s="6" t="s">
        <v>183</v>
      </c>
      <c r="I106" s="7" t="s">
        <v>373</v>
      </c>
      <c r="J106">
        <v>1927</v>
      </c>
      <c r="K106" t="s">
        <v>105</v>
      </c>
      <c r="L106">
        <v>253</v>
      </c>
    </row>
    <row r="107" ht="15" spans="1:12">
      <c r="A107" s="6"/>
      <c r="B107" s="7"/>
      <c r="H107" s="6" t="s">
        <v>133</v>
      </c>
      <c r="I107" s="7" t="s">
        <v>373</v>
      </c>
      <c r="J107">
        <v>0</v>
      </c>
      <c r="K107" t="s">
        <v>105</v>
      </c>
      <c r="L107">
        <v>254</v>
      </c>
    </row>
    <row r="108" ht="15" spans="1:12">
      <c r="A108" s="6"/>
      <c r="B108" s="7"/>
      <c r="H108" s="6" t="s">
        <v>39</v>
      </c>
      <c r="I108" s="7" t="s">
        <v>373</v>
      </c>
      <c r="J108">
        <v>550</v>
      </c>
      <c r="K108" t="s">
        <v>17</v>
      </c>
      <c r="L108">
        <v>255</v>
      </c>
    </row>
    <row r="109" ht="15" spans="1:12">
      <c r="A109" s="6"/>
      <c r="B109" s="7"/>
      <c r="H109" s="6" t="s">
        <v>163</v>
      </c>
      <c r="I109" s="7" t="s">
        <v>373</v>
      </c>
      <c r="J109">
        <v>1547</v>
      </c>
      <c r="K109" t="s">
        <v>105</v>
      </c>
      <c r="L109">
        <v>256</v>
      </c>
    </row>
    <row r="110" ht="15" spans="1:12">
      <c r="A110" s="6"/>
      <c r="B110" s="7"/>
      <c r="H110" s="6" t="s">
        <v>264</v>
      </c>
      <c r="I110" s="7" t="s">
        <v>373</v>
      </c>
      <c r="J110">
        <v>1108</v>
      </c>
      <c r="K110" t="s">
        <v>105</v>
      </c>
      <c r="L110">
        <v>257</v>
      </c>
    </row>
    <row r="111" ht="15" spans="1:12">
      <c r="A111" s="6"/>
      <c r="B111" s="7"/>
      <c r="H111" s="6" t="s">
        <v>290</v>
      </c>
      <c r="I111" s="7" t="s">
        <v>373</v>
      </c>
      <c r="J111">
        <v>133</v>
      </c>
      <c r="K111" t="s">
        <v>105</v>
      </c>
      <c r="L111">
        <v>258</v>
      </c>
    </row>
    <row r="112" ht="15" spans="1:12">
      <c r="A112" s="6"/>
      <c r="B112" s="7"/>
      <c r="H112" s="6" t="s">
        <v>297</v>
      </c>
      <c r="I112" s="7" t="s">
        <v>373</v>
      </c>
      <c r="J112">
        <v>407</v>
      </c>
      <c r="K112" t="s">
        <v>105</v>
      </c>
      <c r="L112">
        <v>259</v>
      </c>
    </row>
    <row r="113" ht="15" spans="1:8">
      <c r="A113" s="6"/>
      <c r="B113" s="7"/>
      <c r="H113" s="7"/>
    </row>
    <row r="114" ht="15" spans="1:8">
      <c r="A114" s="6"/>
      <c r="B114" s="7"/>
      <c r="H114" s="7"/>
    </row>
    <row r="115" ht="15" spans="1:8">
      <c r="A115" s="6"/>
      <c r="B115" s="7"/>
      <c r="H115" s="7"/>
    </row>
    <row r="116" ht="15" spans="1:8">
      <c r="A116" s="6"/>
      <c r="B116" s="7"/>
      <c r="H116" s="7"/>
    </row>
    <row r="117" ht="15" spans="1:8">
      <c r="A117" s="6"/>
      <c r="B117" s="7"/>
      <c r="H117" s="7"/>
    </row>
    <row r="118" ht="15" spans="1:8">
      <c r="A118" s="6"/>
      <c r="B118" s="7"/>
      <c r="H118" s="7"/>
    </row>
    <row r="119" ht="15" spans="1:8">
      <c r="A119" s="6"/>
      <c r="B119" s="7"/>
      <c r="H119" s="7"/>
    </row>
    <row r="120" ht="15" spans="1:8">
      <c r="A120" s="6"/>
      <c r="B120" s="7"/>
      <c r="H120" s="7"/>
    </row>
    <row r="121" ht="15" spans="1:8">
      <c r="A121" s="6"/>
      <c r="B121" s="7"/>
      <c r="H121" s="7"/>
    </row>
    <row r="122" ht="15" spans="1:8">
      <c r="A122" s="6"/>
      <c r="B122" s="7"/>
      <c r="H122" s="7"/>
    </row>
    <row r="123" ht="15" spans="1:8">
      <c r="A123" s="6"/>
      <c r="B123" s="7"/>
      <c r="H123" s="7"/>
    </row>
    <row r="124" ht="15" spans="1:8">
      <c r="A124" s="6"/>
      <c r="B124" s="7"/>
      <c r="H124" s="7"/>
    </row>
    <row r="125" ht="15" spans="1:8">
      <c r="A125" s="6"/>
      <c r="B125" s="7"/>
      <c r="H125" s="7"/>
    </row>
    <row r="126" ht="15" spans="1:8">
      <c r="A126" s="6"/>
      <c r="B126" s="7"/>
      <c r="H126" s="7"/>
    </row>
    <row r="127" ht="15" spans="1:8">
      <c r="A127" s="6"/>
      <c r="B127" s="7"/>
      <c r="H127" s="7"/>
    </row>
    <row r="128" ht="15" spans="1:8">
      <c r="A128" s="6"/>
      <c r="B128" s="7"/>
      <c r="H128" s="7"/>
    </row>
    <row r="129" ht="15" spans="1:8">
      <c r="A129" s="6"/>
      <c r="B129" s="7"/>
      <c r="H129" s="7"/>
    </row>
    <row r="130" ht="15" spans="1:8">
      <c r="A130" s="6"/>
      <c r="B130" s="7"/>
      <c r="H130" s="7"/>
    </row>
    <row r="131" ht="15" spans="1:8">
      <c r="A131" s="6"/>
      <c r="B131" s="7"/>
      <c r="H131" s="7"/>
    </row>
    <row r="132" ht="15" spans="1:8">
      <c r="A132" s="6"/>
      <c r="B132" s="7"/>
      <c r="H132" s="7"/>
    </row>
    <row r="133" ht="15" spans="1:8">
      <c r="A133" s="6"/>
      <c r="B133" s="7"/>
      <c r="H133" s="7"/>
    </row>
    <row r="134" ht="15" spans="1:8">
      <c r="A134" s="6"/>
      <c r="B134" s="7"/>
      <c r="H134" s="7"/>
    </row>
    <row r="135" ht="15" spans="1:8">
      <c r="A135" s="6"/>
      <c r="B135" s="7"/>
      <c r="H135" s="7"/>
    </row>
    <row r="136" ht="15" spans="1:8">
      <c r="A136" s="6"/>
      <c r="B136" s="7"/>
      <c r="H136" s="7"/>
    </row>
    <row r="137" ht="15" spans="1:8">
      <c r="A137" s="6"/>
      <c r="B137" s="7"/>
      <c r="H137" s="7"/>
    </row>
    <row r="138" ht="15" spans="1:8">
      <c r="A138" s="6"/>
      <c r="B138" s="7"/>
      <c r="H138" s="7"/>
    </row>
    <row r="139" ht="15" spans="1:8">
      <c r="A139" s="6"/>
      <c r="B139" s="7"/>
      <c r="H139" s="7"/>
    </row>
    <row r="140" ht="15" spans="1:8">
      <c r="A140" s="6"/>
      <c r="B140" s="7"/>
      <c r="H140" s="7"/>
    </row>
    <row r="141" ht="15" spans="1:8">
      <c r="A141" s="6"/>
      <c r="B141" s="7"/>
      <c r="H141" s="7"/>
    </row>
    <row r="142" ht="15" spans="1:8">
      <c r="A142" s="6"/>
      <c r="B142" s="7"/>
      <c r="H142" s="7"/>
    </row>
    <row r="143" ht="15" spans="1:8">
      <c r="A143" s="6"/>
      <c r="B143" s="7"/>
      <c r="H143" s="7"/>
    </row>
    <row r="144" ht="15" spans="1:8">
      <c r="A144" s="6"/>
      <c r="B144" s="7"/>
      <c r="H144" s="7"/>
    </row>
    <row r="145" ht="15" spans="1:8">
      <c r="A145" s="6"/>
      <c r="B145" s="7"/>
      <c r="H145" s="7"/>
    </row>
    <row r="146" ht="15" spans="1:8">
      <c r="A146" s="6"/>
      <c r="B146" s="7"/>
      <c r="H146" s="7"/>
    </row>
    <row r="147" ht="15" spans="1:8">
      <c r="A147" s="6"/>
      <c r="B147" s="7"/>
      <c r="H147" s="7"/>
    </row>
    <row r="148" ht="15" spans="1:8">
      <c r="A148" s="6"/>
      <c r="B148" s="7"/>
      <c r="H148" s="7"/>
    </row>
    <row r="149" ht="15" spans="1:8">
      <c r="A149" s="6"/>
      <c r="B149" s="7"/>
      <c r="H149" s="7"/>
    </row>
    <row r="150" ht="15" spans="1:8">
      <c r="A150" s="6"/>
      <c r="B150" s="7"/>
      <c r="H150" s="7"/>
    </row>
    <row r="151" ht="15" spans="1:8">
      <c r="A151" s="6"/>
      <c r="B151" s="7"/>
      <c r="H151" s="7"/>
    </row>
    <row r="152" ht="15" spans="1:8">
      <c r="A152" s="6"/>
      <c r="B152" s="7"/>
      <c r="H152" s="7"/>
    </row>
    <row r="153" ht="15" spans="1:8">
      <c r="A153" s="6"/>
      <c r="B153" s="7"/>
      <c r="H153" s="7"/>
    </row>
    <row r="154" ht="15" spans="1:8">
      <c r="A154" s="6"/>
      <c r="B154" s="7"/>
      <c r="H154" s="7"/>
    </row>
    <row r="155" ht="15" spans="1:8">
      <c r="A155" s="6"/>
      <c r="B155" s="7"/>
      <c r="H155" s="7"/>
    </row>
    <row r="156" ht="15" spans="1:8">
      <c r="A156" s="6"/>
      <c r="B156" s="7"/>
      <c r="H156" s="7"/>
    </row>
    <row r="157" ht="15" spans="1:8">
      <c r="A157" s="6"/>
      <c r="B157" s="7"/>
      <c r="H157" s="7"/>
    </row>
    <row r="158" ht="15" spans="1:8">
      <c r="A158" s="6"/>
      <c r="B158" s="7"/>
      <c r="H158" s="7"/>
    </row>
    <row r="159" ht="15" spans="1:8">
      <c r="A159" s="6"/>
      <c r="B159" s="7"/>
      <c r="H159" s="7"/>
    </row>
    <row r="160" ht="15" spans="1:8">
      <c r="A160" s="6"/>
      <c r="B160" s="7"/>
      <c r="H160" s="7"/>
    </row>
    <row r="161" ht="15" spans="1:8">
      <c r="A161" s="6"/>
      <c r="B161" s="7"/>
      <c r="H161" s="7"/>
    </row>
    <row r="162" ht="15" spans="1:8">
      <c r="A162" s="6"/>
      <c r="B162" s="7"/>
      <c r="H162" s="7"/>
    </row>
    <row r="163" ht="15" spans="1:8">
      <c r="A163" s="6"/>
      <c r="B163" s="7"/>
      <c r="H163" s="7"/>
    </row>
    <row r="164" ht="15" spans="1:8">
      <c r="A164" s="6"/>
      <c r="B164" s="7"/>
      <c r="H164" s="7"/>
    </row>
    <row r="165" ht="15" spans="1:8">
      <c r="A165" s="6"/>
      <c r="B165" s="7"/>
      <c r="H165" s="7"/>
    </row>
    <row r="166" ht="15" spans="1:8">
      <c r="A166" s="6"/>
      <c r="B166" s="7"/>
      <c r="H166" s="7"/>
    </row>
    <row r="167" ht="15" spans="1:8">
      <c r="A167" s="6"/>
      <c r="B167" s="7"/>
      <c r="H167" s="7"/>
    </row>
    <row r="168" ht="15" spans="1:8">
      <c r="A168" s="6"/>
      <c r="B168" s="7"/>
      <c r="H168" s="7"/>
    </row>
    <row r="169" ht="15" spans="1:8">
      <c r="A169" s="6"/>
      <c r="B169" s="7"/>
      <c r="H169" s="7"/>
    </row>
    <row r="170" ht="15" spans="1:8">
      <c r="A170" s="6"/>
      <c r="B170" s="7"/>
      <c r="H170" s="7"/>
    </row>
    <row r="171" ht="15" spans="1:8">
      <c r="A171" s="6"/>
      <c r="B171" s="7"/>
      <c r="H171" s="7"/>
    </row>
    <row r="172" ht="15" spans="1:8">
      <c r="A172" s="6"/>
      <c r="B172" s="7"/>
      <c r="H172" s="7"/>
    </row>
    <row r="173" ht="15" spans="1:8">
      <c r="A173" s="6"/>
      <c r="B173" s="7"/>
      <c r="H173" s="7"/>
    </row>
    <row r="174" ht="15" spans="1:8">
      <c r="A174" s="6"/>
      <c r="B174" s="7"/>
      <c r="H174" s="7"/>
    </row>
    <row r="175" ht="15" spans="1:8">
      <c r="A175" s="6"/>
      <c r="B175" s="7"/>
      <c r="H175" s="7"/>
    </row>
    <row r="176" ht="15" spans="1:8">
      <c r="A176" s="6"/>
      <c r="B176" s="7"/>
      <c r="H176" s="7"/>
    </row>
    <row r="177" ht="15" spans="1:8">
      <c r="A177" s="6"/>
      <c r="B177" s="7"/>
      <c r="H177" s="7"/>
    </row>
    <row r="178" ht="15" spans="1:8">
      <c r="A178" s="6"/>
      <c r="B178" s="7"/>
      <c r="H178" s="7"/>
    </row>
    <row r="179" ht="15" spans="1:8">
      <c r="A179" s="6"/>
      <c r="B179" s="7"/>
      <c r="H179" s="7"/>
    </row>
    <row r="180" ht="15" spans="1:8">
      <c r="A180" s="6"/>
      <c r="B180" s="7"/>
      <c r="H180" s="7"/>
    </row>
    <row r="181" ht="15" spans="1:8">
      <c r="A181" s="6"/>
      <c r="B181" s="7"/>
      <c r="H181" s="7"/>
    </row>
    <row r="182" ht="15" spans="1:8">
      <c r="A182" s="6"/>
      <c r="B182" s="7"/>
      <c r="H182" s="7"/>
    </row>
    <row r="183" ht="15" spans="1:8">
      <c r="A183" s="6"/>
      <c r="B183" s="7"/>
      <c r="H183" s="7"/>
    </row>
    <row r="184" ht="15" spans="1:8">
      <c r="A184" s="6"/>
      <c r="B184" s="7"/>
      <c r="H184" s="7"/>
    </row>
    <row r="185" ht="15" spans="1:8">
      <c r="A185" s="6"/>
      <c r="B185" s="7"/>
      <c r="H185" s="7"/>
    </row>
    <row r="186" ht="15" spans="1:8">
      <c r="A186" s="6"/>
      <c r="B186" s="7"/>
      <c r="H186" s="7"/>
    </row>
    <row r="187" ht="15" spans="1:8">
      <c r="A187" s="6"/>
      <c r="B187" s="7"/>
      <c r="H187" s="7"/>
    </row>
    <row r="188" ht="15" spans="1:8">
      <c r="A188" s="6"/>
      <c r="B188" s="7"/>
      <c r="H188" s="7"/>
    </row>
    <row r="189" ht="15" spans="1:8">
      <c r="A189" s="6"/>
      <c r="B189" s="7"/>
      <c r="H189" s="7"/>
    </row>
    <row r="190" ht="15" spans="1:8">
      <c r="A190" s="6"/>
      <c r="B190" s="7"/>
      <c r="H190" s="7"/>
    </row>
    <row r="191" ht="15" spans="1:8">
      <c r="A191" s="6"/>
      <c r="B191" s="7"/>
      <c r="H191" s="7"/>
    </row>
    <row r="192" ht="15" spans="1:8">
      <c r="A192" s="6"/>
      <c r="B192" s="7"/>
      <c r="H192" s="7"/>
    </row>
    <row r="193" ht="15" spans="1:8">
      <c r="A193" s="6"/>
      <c r="B193" s="7"/>
      <c r="H193" s="7"/>
    </row>
    <row r="194" ht="15" spans="1:8">
      <c r="A194" s="6"/>
      <c r="B194" s="7"/>
      <c r="H194" s="7"/>
    </row>
    <row r="195" ht="15" spans="1:8">
      <c r="A195" s="6"/>
      <c r="B195" s="7"/>
      <c r="H195" s="7"/>
    </row>
    <row r="196" ht="15" spans="1:8">
      <c r="A196" s="6"/>
      <c r="B196" s="7"/>
      <c r="H196" s="7"/>
    </row>
    <row r="197" ht="15" spans="1:8">
      <c r="A197" s="6"/>
      <c r="B197" s="7"/>
      <c r="H197" s="7"/>
    </row>
    <row r="198" ht="15" spans="1:8">
      <c r="A198" s="6"/>
      <c r="B198" s="7"/>
      <c r="H198" s="7"/>
    </row>
    <row r="199" ht="15" spans="1:8">
      <c r="A199" s="6"/>
      <c r="B199" s="7"/>
      <c r="H199" s="7"/>
    </row>
    <row r="200" ht="15" spans="1:8">
      <c r="A200" s="6"/>
      <c r="B200" s="7"/>
      <c r="H200" s="7"/>
    </row>
    <row r="201" ht="15" spans="1:8">
      <c r="A201" s="6"/>
      <c r="B201" s="7"/>
      <c r="H201" s="7"/>
    </row>
    <row r="202" ht="15" spans="1:8">
      <c r="A202" s="6"/>
      <c r="B202" s="7"/>
      <c r="H202" s="7"/>
    </row>
    <row r="203" ht="15" spans="1:8">
      <c r="A203" s="6"/>
      <c r="B203" s="7"/>
      <c r="H203" s="7"/>
    </row>
    <row r="204" ht="15" spans="1:8">
      <c r="A204" s="6"/>
      <c r="B204" s="7"/>
      <c r="H204" s="7"/>
    </row>
    <row r="205" ht="15" spans="1:8">
      <c r="A205" s="6"/>
      <c r="B205" s="7"/>
      <c r="H205" s="7"/>
    </row>
    <row r="206" ht="15" spans="1:8">
      <c r="A206" s="6"/>
      <c r="B206" s="7"/>
      <c r="H206" s="7"/>
    </row>
    <row r="207" ht="15" spans="1:8">
      <c r="A207" s="6"/>
      <c r="B207" s="7"/>
      <c r="H207" s="7"/>
    </row>
    <row r="208" ht="15" spans="1:8">
      <c r="A208" s="6"/>
      <c r="B208" s="7"/>
      <c r="H208" s="7"/>
    </row>
    <row r="209" ht="15" spans="1:8">
      <c r="A209" s="6"/>
      <c r="B209" s="7"/>
      <c r="H209" s="7"/>
    </row>
    <row r="210" ht="15" spans="1:8">
      <c r="A210" s="6"/>
      <c r="B210" s="7"/>
      <c r="H210" s="7"/>
    </row>
    <row r="211" ht="15" spans="1:8">
      <c r="A211" s="6"/>
      <c r="B211" s="7"/>
      <c r="H211" s="7"/>
    </row>
    <row r="212" ht="15" spans="1:8">
      <c r="A212" s="6"/>
      <c r="B212" s="7"/>
      <c r="H212" s="7"/>
    </row>
    <row r="213" ht="15" spans="1:8">
      <c r="A213" s="6"/>
      <c r="B213" s="7"/>
      <c r="H213" s="7"/>
    </row>
    <row r="214" ht="15" spans="1:8">
      <c r="A214" s="6"/>
      <c r="B214" s="7"/>
      <c r="H214" s="7"/>
    </row>
    <row r="215" ht="15" spans="5:8">
      <c r="E215" s="6"/>
      <c r="H215" s="7"/>
    </row>
    <row r="216" ht="15" spans="5:8">
      <c r="E216" s="6"/>
      <c r="H216" s="7"/>
    </row>
    <row r="217" ht="15" spans="5:8">
      <c r="E217" s="6"/>
      <c r="H217" s="7"/>
    </row>
    <row r="218" ht="15" spans="5:8">
      <c r="E218" s="6"/>
      <c r="H218" s="7"/>
    </row>
    <row r="219" ht="15" spans="5:8">
      <c r="E219" s="6"/>
      <c r="H219" s="7"/>
    </row>
    <row r="220" ht="15" spans="5:8">
      <c r="E220" s="6"/>
      <c r="H220" s="7"/>
    </row>
    <row r="221" ht="15" spans="5:8">
      <c r="E221" s="6"/>
      <c r="H221" s="7"/>
    </row>
    <row r="222" ht="15" spans="5:8">
      <c r="E222" s="6"/>
      <c r="H222" s="7"/>
    </row>
    <row r="223" ht="15" spans="5:8">
      <c r="E223" s="6"/>
      <c r="H223" s="7"/>
    </row>
    <row r="224" ht="15" spans="5:8">
      <c r="E224" s="6"/>
      <c r="H224" s="7"/>
    </row>
    <row r="225" ht="15" spans="5:8">
      <c r="E225" s="6"/>
      <c r="H225" s="7"/>
    </row>
    <row r="226" ht="15" spans="5:8">
      <c r="E226" s="6"/>
      <c r="H226" s="7"/>
    </row>
    <row r="227" ht="15" spans="5:8">
      <c r="E227" s="6"/>
      <c r="H227" s="7"/>
    </row>
    <row r="228" ht="15" spans="5:8">
      <c r="E228" s="6"/>
      <c r="H228" s="7"/>
    </row>
    <row r="229" ht="15" spans="5:8">
      <c r="E229" s="6"/>
      <c r="H229" s="7"/>
    </row>
    <row r="230" ht="15" spans="5:8">
      <c r="E230" s="6"/>
      <c r="H230" s="7"/>
    </row>
    <row r="231" ht="15" spans="5:8">
      <c r="E231" s="6"/>
      <c r="H231" s="7"/>
    </row>
    <row r="232" ht="15" spans="5:8">
      <c r="E232" s="6"/>
      <c r="H232" s="7"/>
    </row>
    <row r="233" ht="15" spans="5:8">
      <c r="E233" s="6"/>
      <c r="H233" s="7"/>
    </row>
    <row r="234" ht="15" spans="5:8">
      <c r="E234" s="6"/>
      <c r="H234" s="7"/>
    </row>
    <row r="235" ht="15" spans="5:8">
      <c r="E235" s="6"/>
      <c r="H235" s="7"/>
    </row>
    <row r="236" ht="15" spans="5:8">
      <c r="E236" s="6"/>
      <c r="H236" s="7"/>
    </row>
    <row r="237" ht="15" spans="5:8">
      <c r="E237" s="6"/>
      <c r="H237" s="7"/>
    </row>
    <row r="238" ht="15" spans="5:8">
      <c r="E238" s="6"/>
      <c r="H238" s="7"/>
    </row>
    <row r="239" ht="15" spans="5:8">
      <c r="E239" s="6"/>
      <c r="H239" s="7"/>
    </row>
    <row r="240" ht="15" spans="5:8">
      <c r="E240" s="6"/>
      <c r="H240" s="7"/>
    </row>
    <row r="241" ht="15" spans="5:8">
      <c r="E241" s="6"/>
      <c r="H241" s="7"/>
    </row>
    <row r="242" ht="15" spans="5:8">
      <c r="E242" s="6"/>
      <c r="H242" s="7"/>
    </row>
    <row r="243" ht="15" spans="5:8">
      <c r="E243" s="6"/>
      <c r="H243" s="7"/>
    </row>
    <row r="244" ht="15" spans="5:8">
      <c r="E244" s="6"/>
      <c r="H244" s="7"/>
    </row>
    <row r="245" ht="15" spans="5:8">
      <c r="E245" s="6"/>
      <c r="H245" s="7"/>
    </row>
    <row r="246" ht="15" spans="5:8">
      <c r="E246" s="6"/>
      <c r="H246" s="7"/>
    </row>
    <row r="247" ht="15" spans="5:8">
      <c r="E247" s="6"/>
      <c r="H247" s="7"/>
    </row>
    <row r="248" ht="15" spans="5:8">
      <c r="E248" s="6"/>
      <c r="H248" s="7"/>
    </row>
    <row r="249" ht="15" spans="5:8">
      <c r="E249" s="6"/>
      <c r="H249" s="7"/>
    </row>
    <row r="250" ht="15" spans="5:8">
      <c r="E250" s="6"/>
      <c r="H250" s="7"/>
    </row>
    <row r="251" ht="15" spans="5:8">
      <c r="E251" s="6"/>
      <c r="H251" s="7"/>
    </row>
    <row r="252" ht="15" spans="5:8">
      <c r="E252" s="6"/>
      <c r="H252" s="7"/>
    </row>
    <row r="253" ht="15" spans="5:8">
      <c r="E253" s="6"/>
      <c r="H253" s="7"/>
    </row>
    <row r="254" ht="15" spans="5:8">
      <c r="E254" s="6"/>
      <c r="H254" s="7"/>
    </row>
    <row r="255" ht="15" spans="5:8">
      <c r="E255" s="6"/>
      <c r="H255" s="7"/>
    </row>
    <row r="256" ht="15" spans="5:8">
      <c r="E256" s="6"/>
      <c r="H256" s="7"/>
    </row>
    <row r="257" ht="15" spans="5:8">
      <c r="E257" s="6"/>
      <c r="H257" s="7"/>
    </row>
    <row r="258" ht="15" spans="5:8">
      <c r="E258" s="6"/>
      <c r="H258" s="7"/>
    </row>
    <row r="259" ht="15" spans="5:8">
      <c r="E259" s="6"/>
      <c r="H259" s="7"/>
    </row>
    <row r="260" ht="15" spans="5:8">
      <c r="E260" s="6"/>
      <c r="H260" s="7"/>
    </row>
  </sheetData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H195"/>
  <sheetViews>
    <sheetView workbookViewId="0">
      <selection activeCell="F28" sqref="F28"/>
    </sheetView>
  </sheetViews>
  <sheetFormatPr defaultColWidth="9" defaultRowHeight="13.5" outlineLevelCol="7"/>
  <cols>
    <col min="2" max="2" width="11.625" customWidth="1"/>
  </cols>
  <sheetData>
    <row r="1" spans="2:8">
      <c r="B1" s="4" t="s">
        <v>379</v>
      </c>
      <c r="C1" s="4"/>
      <c r="G1" s="4" t="s">
        <v>380</v>
      </c>
      <c r="H1" s="4"/>
    </row>
    <row r="2" spans="2:8">
      <c r="B2" t="s">
        <v>381</v>
      </c>
      <c r="C2" t="s">
        <v>382</v>
      </c>
      <c r="G2" t="s">
        <v>382</v>
      </c>
      <c r="H2" t="s">
        <v>381</v>
      </c>
    </row>
    <row r="3" ht="15" spans="2:8">
      <c r="B3" s="5">
        <v>76</v>
      </c>
      <c r="C3" s="5">
        <v>57</v>
      </c>
      <c r="G3" s="5">
        <v>0</v>
      </c>
      <c r="H3" s="5">
        <v>0</v>
      </c>
    </row>
    <row r="4" ht="15" spans="2:8">
      <c r="B4" s="5">
        <v>40</v>
      </c>
      <c r="C4" s="5">
        <v>58</v>
      </c>
      <c r="G4" s="5">
        <v>1</v>
      </c>
      <c r="H4" s="5">
        <v>0</v>
      </c>
    </row>
    <row r="5" ht="15" spans="2:8">
      <c r="B5" s="5">
        <v>46</v>
      </c>
      <c r="C5" s="5">
        <v>40</v>
      </c>
      <c r="G5" s="5">
        <v>0</v>
      </c>
      <c r="H5" s="5">
        <v>0</v>
      </c>
    </row>
    <row r="6" ht="15" spans="2:8">
      <c r="B6" s="5">
        <v>41</v>
      </c>
      <c r="C6" s="5">
        <v>80</v>
      </c>
      <c r="G6" s="5">
        <v>1</v>
      </c>
      <c r="H6" s="5">
        <v>0</v>
      </c>
    </row>
    <row r="7" ht="15" spans="2:8">
      <c r="B7" s="5">
        <v>70</v>
      </c>
      <c r="C7" s="5">
        <v>74</v>
      </c>
      <c r="G7" s="5">
        <v>1</v>
      </c>
      <c r="H7" s="5">
        <v>1</v>
      </c>
    </row>
    <row r="8" ht="15" spans="2:8">
      <c r="B8" s="5">
        <v>80</v>
      </c>
      <c r="C8" s="5">
        <v>43</v>
      </c>
      <c r="G8" s="5">
        <v>0</v>
      </c>
      <c r="H8" s="5">
        <v>1</v>
      </c>
    </row>
    <row r="9" ht="15" spans="2:8">
      <c r="B9" s="5">
        <v>55</v>
      </c>
      <c r="C9" s="5">
        <v>58</v>
      </c>
      <c r="G9" s="5">
        <v>0</v>
      </c>
      <c r="H9" s="5">
        <v>1</v>
      </c>
    </row>
    <row r="10" ht="15" spans="2:8">
      <c r="B10" s="5">
        <v>73</v>
      </c>
      <c r="C10" s="5">
        <v>60</v>
      </c>
      <c r="G10" s="5">
        <v>0</v>
      </c>
      <c r="H10" s="5">
        <v>0</v>
      </c>
    </row>
    <row r="11" ht="15" spans="2:8">
      <c r="B11" s="5">
        <v>80</v>
      </c>
      <c r="C11" s="5">
        <v>55</v>
      </c>
      <c r="G11" s="5">
        <v>0</v>
      </c>
      <c r="H11" s="5">
        <v>1</v>
      </c>
    </row>
    <row r="12" ht="15" spans="2:8">
      <c r="B12" s="5">
        <v>67</v>
      </c>
      <c r="C12" s="5">
        <v>60</v>
      </c>
      <c r="G12" s="5">
        <v>1</v>
      </c>
      <c r="H12" s="5">
        <v>1</v>
      </c>
    </row>
    <row r="13" ht="15" spans="2:8">
      <c r="B13" s="5">
        <v>56</v>
      </c>
      <c r="C13" s="5">
        <v>63</v>
      </c>
      <c r="G13" s="5">
        <v>0</v>
      </c>
      <c r="H13" s="5">
        <v>0</v>
      </c>
    </row>
    <row r="14" ht="15" spans="2:8">
      <c r="B14" s="5">
        <v>78</v>
      </c>
      <c r="C14" s="5">
        <v>60</v>
      </c>
      <c r="G14" s="5">
        <v>0</v>
      </c>
      <c r="H14" s="5">
        <v>0</v>
      </c>
    </row>
    <row r="15" ht="15" spans="2:8">
      <c r="B15" s="5">
        <v>48</v>
      </c>
      <c r="C15" s="5">
        <v>86</v>
      </c>
      <c r="G15" s="5">
        <v>0</v>
      </c>
      <c r="H15" s="5">
        <v>0</v>
      </c>
    </row>
    <row r="16" ht="15" spans="2:8">
      <c r="B16" s="5">
        <v>72</v>
      </c>
      <c r="C16" s="5">
        <v>66</v>
      </c>
      <c r="G16" s="5">
        <v>0</v>
      </c>
      <c r="H16" s="5">
        <v>0</v>
      </c>
    </row>
    <row r="17" ht="15" spans="2:8">
      <c r="B17" s="5">
        <v>67</v>
      </c>
      <c r="C17" s="5">
        <v>69</v>
      </c>
      <c r="G17" s="5">
        <v>1</v>
      </c>
      <c r="H17" s="5">
        <v>1</v>
      </c>
    </row>
    <row r="18" ht="15" spans="2:8">
      <c r="B18" s="5">
        <v>58</v>
      </c>
      <c r="C18" s="5">
        <v>44</v>
      </c>
      <c r="G18" s="5">
        <v>1</v>
      </c>
      <c r="H18" s="5">
        <v>1</v>
      </c>
    </row>
    <row r="19" ht="15" spans="2:8">
      <c r="B19" s="5">
        <v>80</v>
      </c>
      <c r="C19" s="5">
        <v>81</v>
      </c>
      <c r="G19" s="5">
        <v>1</v>
      </c>
      <c r="H19" s="5">
        <v>1</v>
      </c>
    </row>
    <row r="20" ht="15" spans="2:8">
      <c r="B20" s="5">
        <v>52</v>
      </c>
      <c r="C20" s="5">
        <v>55</v>
      </c>
      <c r="G20" s="5">
        <v>0</v>
      </c>
      <c r="H20" s="5">
        <v>1</v>
      </c>
    </row>
    <row r="21" ht="15" spans="2:8">
      <c r="B21" s="5">
        <v>85</v>
      </c>
      <c r="C21" s="5">
        <v>69</v>
      </c>
      <c r="G21" s="5">
        <v>0</v>
      </c>
      <c r="H21" s="5">
        <v>1</v>
      </c>
    </row>
    <row r="22" ht="15" spans="2:8">
      <c r="B22" s="5">
        <v>27</v>
      </c>
      <c r="C22" s="5">
        <v>66</v>
      </c>
      <c r="G22" s="5">
        <v>0</v>
      </c>
      <c r="H22" s="5">
        <v>1</v>
      </c>
    </row>
    <row r="23" ht="15" spans="2:8">
      <c r="B23" s="5">
        <v>56</v>
      </c>
      <c r="C23" s="5">
        <v>84</v>
      </c>
      <c r="G23" s="5">
        <v>1</v>
      </c>
      <c r="H23" s="5">
        <v>1</v>
      </c>
    </row>
    <row r="24" ht="15" spans="2:8">
      <c r="B24" s="5">
        <v>48</v>
      </c>
      <c r="C24" s="5">
        <v>57</v>
      </c>
      <c r="G24" s="5">
        <v>1</v>
      </c>
      <c r="H24" s="5">
        <v>1</v>
      </c>
    </row>
    <row r="25" ht="15" spans="2:8">
      <c r="B25" s="5">
        <v>47</v>
      </c>
      <c r="C25" s="5">
        <v>56</v>
      </c>
      <c r="G25" s="5">
        <v>0</v>
      </c>
      <c r="H25" s="5">
        <v>1</v>
      </c>
    </row>
    <row r="26" ht="15" spans="2:8">
      <c r="B26" s="5">
        <v>37</v>
      </c>
      <c r="C26" s="5">
        <v>61</v>
      </c>
      <c r="G26" s="5">
        <v>1</v>
      </c>
      <c r="H26" s="5">
        <v>0</v>
      </c>
    </row>
    <row r="27" ht="15" spans="2:8">
      <c r="B27" s="5">
        <v>59</v>
      </c>
      <c r="C27" s="5">
        <v>74</v>
      </c>
      <c r="G27" s="5">
        <v>1</v>
      </c>
      <c r="H27" s="5">
        <v>0</v>
      </c>
    </row>
    <row r="28" ht="15" spans="2:8">
      <c r="B28" s="5">
        <v>75</v>
      </c>
      <c r="C28" s="5">
        <v>77</v>
      </c>
      <c r="G28" s="5">
        <v>0</v>
      </c>
      <c r="H28" s="5">
        <v>0</v>
      </c>
    </row>
    <row r="29" ht="15" spans="2:8">
      <c r="B29" s="5">
        <v>68</v>
      </c>
      <c r="C29" s="5">
        <v>76</v>
      </c>
      <c r="G29" s="5">
        <v>1</v>
      </c>
      <c r="H29" s="5">
        <v>1</v>
      </c>
    </row>
    <row r="30" ht="15" spans="2:8">
      <c r="B30" s="5">
        <v>63</v>
      </c>
      <c r="C30" s="5">
        <v>70</v>
      </c>
      <c r="G30" s="5">
        <v>0</v>
      </c>
      <c r="H30" s="5">
        <v>0</v>
      </c>
    </row>
    <row r="31" ht="15" spans="2:8">
      <c r="B31" s="5">
        <v>20</v>
      </c>
      <c r="C31" s="5">
        <v>76</v>
      </c>
      <c r="G31" s="5">
        <v>1</v>
      </c>
      <c r="H31" s="5">
        <v>0</v>
      </c>
    </row>
    <row r="32" ht="15" spans="2:8">
      <c r="B32" s="5">
        <v>66</v>
      </c>
      <c r="C32" s="5">
        <v>82</v>
      </c>
      <c r="G32" s="5">
        <v>1</v>
      </c>
      <c r="H32" s="5">
        <v>1</v>
      </c>
    </row>
    <row r="33" ht="15" spans="2:8">
      <c r="B33" s="5">
        <v>74</v>
      </c>
      <c r="C33" s="5">
        <v>66</v>
      </c>
      <c r="G33" s="5">
        <v>1</v>
      </c>
      <c r="H33" s="5">
        <v>1</v>
      </c>
    </row>
    <row r="34" ht="15" spans="2:8">
      <c r="B34" s="5">
        <v>53</v>
      </c>
      <c r="C34" s="5">
        <v>71</v>
      </c>
      <c r="G34" s="5">
        <v>0</v>
      </c>
      <c r="H34" s="5">
        <v>0</v>
      </c>
    </row>
    <row r="35" ht="15" spans="2:8">
      <c r="B35" s="5">
        <v>52</v>
      </c>
      <c r="C35" s="5">
        <v>59</v>
      </c>
      <c r="G35" s="5">
        <v>0</v>
      </c>
      <c r="H35" s="5">
        <v>0</v>
      </c>
    </row>
    <row r="36" ht="15" spans="2:8">
      <c r="B36" s="5">
        <v>79</v>
      </c>
      <c r="C36" s="5">
        <v>35</v>
      </c>
      <c r="G36" s="5">
        <v>1</v>
      </c>
      <c r="H36" s="5">
        <v>1</v>
      </c>
    </row>
    <row r="37" ht="15" spans="2:8">
      <c r="B37" s="5">
        <v>88</v>
      </c>
      <c r="C37" s="5">
        <v>66</v>
      </c>
      <c r="G37" s="5">
        <v>1</v>
      </c>
      <c r="H37" s="5">
        <v>0</v>
      </c>
    </row>
    <row r="38" ht="15" spans="2:8">
      <c r="B38" s="5">
        <v>43</v>
      </c>
      <c r="C38" s="5">
        <v>63</v>
      </c>
      <c r="G38" s="5">
        <v>0</v>
      </c>
      <c r="H38" s="5">
        <v>1</v>
      </c>
    </row>
    <row r="39" ht="15" spans="2:8">
      <c r="B39" s="5">
        <v>49</v>
      </c>
      <c r="C39" s="5">
        <v>75</v>
      </c>
      <c r="G39" s="5">
        <v>1</v>
      </c>
      <c r="H39" s="5">
        <v>0</v>
      </c>
    </row>
    <row r="40" ht="15" spans="2:8">
      <c r="B40" s="5">
        <v>70</v>
      </c>
      <c r="C40" s="5">
        <v>82</v>
      </c>
      <c r="G40" s="5">
        <v>0</v>
      </c>
      <c r="H40" s="5">
        <v>0</v>
      </c>
    </row>
    <row r="41" ht="15" spans="2:8">
      <c r="B41" s="5">
        <v>66</v>
      </c>
      <c r="C41" s="5">
        <v>90</v>
      </c>
      <c r="G41" s="5">
        <v>0</v>
      </c>
      <c r="H41" s="5">
        <v>1</v>
      </c>
    </row>
    <row r="42" ht="15" spans="2:8">
      <c r="B42" s="5">
        <v>29</v>
      </c>
      <c r="C42" s="5">
        <v>60</v>
      </c>
      <c r="G42" s="5">
        <v>0</v>
      </c>
      <c r="H42" s="5">
        <v>1</v>
      </c>
    </row>
    <row r="43" ht="15" spans="2:8">
      <c r="B43" s="5">
        <v>42</v>
      </c>
      <c r="C43" s="5">
        <v>64</v>
      </c>
      <c r="G43" s="5">
        <v>0</v>
      </c>
      <c r="H43" s="5">
        <v>1</v>
      </c>
    </row>
    <row r="44" ht="15" spans="2:8">
      <c r="B44" s="5">
        <v>78</v>
      </c>
      <c r="C44" s="5">
        <v>35</v>
      </c>
      <c r="G44" s="5">
        <v>0</v>
      </c>
      <c r="H44" s="5">
        <v>0</v>
      </c>
    </row>
    <row r="45" ht="15" spans="2:8">
      <c r="B45" s="5">
        <v>49</v>
      </c>
      <c r="C45" s="5">
        <v>52</v>
      </c>
      <c r="G45" s="5">
        <v>1</v>
      </c>
      <c r="H45" s="5">
        <v>0</v>
      </c>
    </row>
    <row r="46" ht="15" spans="2:8">
      <c r="B46" s="5">
        <v>68</v>
      </c>
      <c r="C46" s="5">
        <v>68</v>
      </c>
      <c r="G46" s="5">
        <v>1</v>
      </c>
      <c r="H46" s="5">
        <v>0</v>
      </c>
    </row>
    <row r="47" ht="15" spans="2:8">
      <c r="B47" s="5">
        <v>56</v>
      </c>
      <c r="C47" s="5">
        <v>80</v>
      </c>
      <c r="G47" s="5">
        <v>0</v>
      </c>
      <c r="H47" s="5">
        <v>0</v>
      </c>
    </row>
    <row r="48" ht="15" spans="2:8">
      <c r="B48" s="5">
        <v>53</v>
      </c>
      <c r="C48" s="5">
        <v>87</v>
      </c>
      <c r="G48" s="5">
        <v>1</v>
      </c>
      <c r="H48" s="5">
        <v>0</v>
      </c>
    </row>
    <row r="49" ht="15" spans="2:8">
      <c r="B49" s="5">
        <v>41</v>
      </c>
      <c r="C49" s="5">
        <v>31</v>
      </c>
      <c r="G49" s="5">
        <v>0</v>
      </c>
      <c r="H49" s="5">
        <v>0</v>
      </c>
    </row>
    <row r="50" ht="15" spans="2:8">
      <c r="B50" s="5">
        <v>38</v>
      </c>
      <c r="C50" s="5">
        <v>90</v>
      </c>
      <c r="G50" s="5">
        <v>0</v>
      </c>
      <c r="H50" s="5">
        <v>0</v>
      </c>
    </row>
    <row r="51" ht="15" spans="2:8">
      <c r="B51" s="5">
        <v>57</v>
      </c>
      <c r="C51" s="5">
        <v>58</v>
      </c>
      <c r="G51" s="5">
        <v>0</v>
      </c>
      <c r="H51" s="5">
        <v>0</v>
      </c>
    </row>
    <row r="52" ht="15" spans="2:8">
      <c r="B52" s="5">
        <v>72</v>
      </c>
      <c r="C52" s="5">
        <v>53</v>
      </c>
      <c r="G52" s="5">
        <v>0</v>
      </c>
      <c r="H52" s="5">
        <v>1</v>
      </c>
    </row>
    <row r="53" ht="15" spans="2:8">
      <c r="B53" s="5">
        <v>73</v>
      </c>
      <c r="C53" s="5">
        <v>67</v>
      </c>
      <c r="G53" s="5">
        <v>1</v>
      </c>
      <c r="H53" s="5">
        <v>0</v>
      </c>
    </row>
    <row r="54" ht="15" spans="2:8">
      <c r="B54" s="5">
        <v>53</v>
      </c>
      <c r="C54" s="5">
        <v>79</v>
      </c>
      <c r="G54" s="5">
        <v>1</v>
      </c>
      <c r="H54" s="5">
        <v>0</v>
      </c>
    </row>
    <row r="55" ht="15" spans="2:8">
      <c r="B55" s="5">
        <v>53</v>
      </c>
      <c r="C55" s="5">
        <v>54</v>
      </c>
      <c r="G55" s="5">
        <v>1</v>
      </c>
      <c r="H55" s="5">
        <v>0</v>
      </c>
    </row>
    <row r="56" ht="15" spans="2:8">
      <c r="B56" s="5">
        <v>55</v>
      </c>
      <c r="C56" s="5">
        <v>68</v>
      </c>
      <c r="G56" s="5">
        <v>1</v>
      </c>
      <c r="H56" s="5">
        <v>1</v>
      </c>
    </row>
    <row r="57" ht="15" spans="2:8">
      <c r="B57" s="5">
        <v>60</v>
      </c>
      <c r="C57" s="5">
        <v>77</v>
      </c>
      <c r="G57" s="5">
        <v>1</v>
      </c>
      <c r="H57" s="5">
        <v>1</v>
      </c>
    </row>
    <row r="58" ht="15" spans="2:8">
      <c r="B58" s="5">
        <v>54</v>
      </c>
      <c r="C58" s="5">
        <v>82</v>
      </c>
      <c r="G58" s="5">
        <v>0</v>
      </c>
      <c r="H58" s="5">
        <v>0</v>
      </c>
    </row>
    <row r="59" ht="15" spans="2:8">
      <c r="B59" s="5">
        <v>56</v>
      </c>
      <c r="C59" s="5">
        <v>67</v>
      </c>
      <c r="G59" s="5">
        <v>0</v>
      </c>
      <c r="H59" s="5">
        <v>1</v>
      </c>
    </row>
    <row r="60" ht="15" spans="2:8">
      <c r="B60" s="5">
        <v>82</v>
      </c>
      <c r="C60" s="5">
        <v>81</v>
      </c>
      <c r="G60" s="5">
        <v>1</v>
      </c>
      <c r="H60" s="5">
        <v>0</v>
      </c>
    </row>
    <row r="61" ht="15" spans="2:8">
      <c r="B61" s="5">
        <v>58</v>
      </c>
      <c r="C61" s="5">
        <v>51</v>
      </c>
      <c r="G61" s="5">
        <v>1</v>
      </c>
      <c r="H61" s="5">
        <v>0</v>
      </c>
    </row>
    <row r="62" ht="15" spans="2:8">
      <c r="B62" s="5">
        <v>66</v>
      </c>
      <c r="C62" s="5">
        <v>53</v>
      </c>
      <c r="G62" s="5">
        <v>1</v>
      </c>
      <c r="H62" s="5">
        <v>1</v>
      </c>
    </row>
    <row r="63" ht="15" spans="2:8">
      <c r="B63" s="5">
        <v>63</v>
      </c>
      <c r="C63" s="5">
        <v>28</v>
      </c>
      <c r="G63" s="5">
        <v>0</v>
      </c>
      <c r="H63" s="5">
        <v>0</v>
      </c>
    </row>
    <row r="64" ht="15" spans="2:8">
      <c r="B64" s="5">
        <v>56</v>
      </c>
      <c r="C64" s="5">
        <v>50</v>
      </c>
      <c r="G64" s="5">
        <v>0</v>
      </c>
      <c r="H64" s="5">
        <v>0</v>
      </c>
    </row>
    <row r="65" ht="15" spans="3:7">
      <c r="C65" s="5">
        <v>49</v>
      </c>
      <c r="G65" s="5">
        <v>0</v>
      </c>
    </row>
    <row r="66" ht="15" spans="3:7">
      <c r="C66" s="5">
        <v>61</v>
      </c>
      <c r="G66" s="5">
        <v>0</v>
      </c>
    </row>
    <row r="67" ht="15" spans="3:7">
      <c r="C67" s="5">
        <v>37</v>
      </c>
      <c r="G67" s="5">
        <v>0</v>
      </c>
    </row>
    <row r="68" ht="15" spans="3:7">
      <c r="C68" s="5">
        <v>62</v>
      </c>
      <c r="G68" s="5">
        <v>0</v>
      </c>
    </row>
    <row r="69" ht="15" spans="3:7">
      <c r="C69" s="5">
        <v>36</v>
      </c>
      <c r="G69" s="5">
        <v>1</v>
      </c>
    </row>
    <row r="70" ht="15" spans="3:7">
      <c r="C70" s="5">
        <v>51</v>
      </c>
      <c r="G70" s="5">
        <v>1</v>
      </c>
    </row>
    <row r="71" ht="15" spans="3:7">
      <c r="C71" s="5">
        <v>63</v>
      </c>
      <c r="G71" s="5">
        <v>0</v>
      </c>
    </row>
    <row r="72" ht="15" spans="3:7">
      <c r="C72" s="5">
        <v>59</v>
      </c>
      <c r="G72" s="5">
        <v>1</v>
      </c>
    </row>
    <row r="73" ht="15" spans="3:7">
      <c r="C73" s="5">
        <v>63</v>
      </c>
      <c r="G73" s="5">
        <v>1</v>
      </c>
    </row>
    <row r="74" ht="15" spans="3:7">
      <c r="C74" s="5">
        <v>58</v>
      </c>
      <c r="G74" s="5">
        <v>0</v>
      </c>
    </row>
    <row r="75" ht="15" spans="3:7">
      <c r="C75" s="5">
        <v>70</v>
      </c>
      <c r="G75" s="5">
        <v>1</v>
      </c>
    </row>
    <row r="76" ht="15" spans="3:7">
      <c r="C76" s="5">
        <v>52</v>
      </c>
      <c r="G76" s="5">
        <v>1</v>
      </c>
    </row>
    <row r="77" ht="15" spans="3:7">
      <c r="C77" s="5">
        <v>60</v>
      </c>
      <c r="G77" s="5">
        <v>1</v>
      </c>
    </row>
    <row r="78" ht="15" spans="3:7">
      <c r="C78" s="5">
        <v>50</v>
      </c>
      <c r="G78" s="5">
        <v>0</v>
      </c>
    </row>
    <row r="79" ht="15" spans="3:7">
      <c r="C79" s="5">
        <v>67</v>
      </c>
      <c r="G79" s="5">
        <v>0</v>
      </c>
    </row>
    <row r="80" ht="15" spans="3:7">
      <c r="C80" s="5">
        <v>56</v>
      </c>
      <c r="G80" s="5">
        <v>1</v>
      </c>
    </row>
    <row r="81" ht="15" spans="3:7">
      <c r="C81" s="5">
        <v>62</v>
      </c>
      <c r="G81" s="5">
        <v>0</v>
      </c>
    </row>
    <row r="82" ht="15" spans="3:7">
      <c r="C82" s="5">
        <v>76</v>
      </c>
      <c r="G82" s="5">
        <v>0</v>
      </c>
    </row>
    <row r="83" ht="15" spans="3:7">
      <c r="C83" s="5">
        <v>42</v>
      </c>
      <c r="G83" s="5">
        <v>1</v>
      </c>
    </row>
    <row r="84" ht="15" spans="3:7">
      <c r="C84" s="5">
        <v>57</v>
      </c>
      <c r="G84" s="5">
        <v>0</v>
      </c>
    </row>
    <row r="85" ht="15" spans="3:7">
      <c r="C85" s="5">
        <v>49</v>
      </c>
      <c r="G85" s="5">
        <v>0</v>
      </c>
    </row>
    <row r="86" ht="15" spans="3:7">
      <c r="C86" s="5">
        <v>65</v>
      </c>
      <c r="G86" s="5">
        <v>0</v>
      </c>
    </row>
    <row r="87" ht="15" spans="3:7">
      <c r="C87" s="5">
        <v>28</v>
      </c>
      <c r="G87" s="5">
        <v>1</v>
      </c>
    </row>
    <row r="88" ht="15" spans="3:7">
      <c r="C88" s="5">
        <v>57</v>
      </c>
      <c r="G88" s="5">
        <v>0</v>
      </c>
    </row>
    <row r="89" ht="15" spans="3:7">
      <c r="C89" s="5">
        <v>70</v>
      </c>
      <c r="G89" s="5">
        <v>0</v>
      </c>
    </row>
    <row r="90" ht="15" spans="3:7">
      <c r="C90" s="5">
        <v>65</v>
      </c>
      <c r="G90" s="5">
        <v>0</v>
      </c>
    </row>
    <row r="91" ht="15" spans="3:7">
      <c r="C91" s="5">
        <v>63</v>
      </c>
      <c r="G91" s="5">
        <v>0</v>
      </c>
    </row>
    <row r="92" ht="15" spans="3:7">
      <c r="C92" s="5">
        <v>65</v>
      </c>
      <c r="G92" s="5">
        <v>0</v>
      </c>
    </row>
    <row r="93" ht="15" spans="3:7">
      <c r="C93" s="5">
        <v>53</v>
      </c>
      <c r="G93" s="5">
        <v>1</v>
      </c>
    </row>
    <row r="94" ht="15" spans="3:7">
      <c r="C94" s="5">
        <v>60</v>
      </c>
      <c r="G94" s="5">
        <v>1</v>
      </c>
    </row>
    <row r="95" ht="15" spans="3:7">
      <c r="C95" s="5">
        <v>59</v>
      </c>
      <c r="G95" s="5">
        <v>1</v>
      </c>
    </row>
    <row r="96" ht="15" spans="3:7">
      <c r="C96" s="5">
        <v>41</v>
      </c>
      <c r="G96" s="5">
        <v>1</v>
      </c>
    </row>
    <row r="97" ht="15" spans="3:7">
      <c r="C97" s="5">
        <v>78</v>
      </c>
      <c r="G97" s="5">
        <v>0</v>
      </c>
    </row>
    <row r="98" ht="15" spans="3:7">
      <c r="C98" s="5">
        <v>59</v>
      </c>
      <c r="G98" s="5">
        <v>0</v>
      </c>
    </row>
    <row r="99" ht="15" spans="3:7">
      <c r="C99" s="5">
        <v>24</v>
      </c>
      <c r="G99" s="5">
        <v>0</v>
      </c>
    </row>
    <row r="100" ht="15" spans="3:7">
      <c r="C100" s="5">
        <v>45</v>
      </c>
      <c r="G100" s="5">
        <v>0</v>
      </c>
    </row>
    <row r="101" ht="15" spans="3:7">
      <c r="C101" s="5">
        <v>79</v>
      </c>
      <c r="G101" s="5">
        <v>0</v>
      </c>
    </row>
    <row r="102" ht="15" spans="3:7">
      <c r="C102" s="5">
        <v>47</v>
      </c>
      <c r="G102" s="5">
        <v>1</v>
      </c>
    </row>
    <row r="103" ht="15" spans="3:7">
      <c r="C103" s="5">
        <v>51</v>
      </c>
      <c r="G103" s="5">
        <v>1</v>
      </c>
    </row>
    <row r="104" ht="15" spans="3:7">
      <c r="C104" s="5">
        <v>78</v>
      </c>
      <c r="G104" s="5">
        <v>0</v>
      </c>
    </row>
    <row r="105" ht="15" spans="3:7">
      <c r="C105" s="5">
        <v>31</v>
      </c>
      <c r="G105" s="5">
        <v>0</v>
      </c>
    </row>
    <row r="106" ht="15" spans="3:7">
      <c r="C106" s="5">
        <v>69</v>
      </c>
      <c r="G106" s="5">
        <v>0</v>
      </c>
    </row>
    <row r="107" ht="15" spans="3:7">
      <c r="C107" s="5">
        <v>72</v>
      </c>
      <c r="G107" s="5">
        <v>1</v>
      </c>
    </row>
    <row r="108" ht="15" spans="3:7">
      <c r="C108" s="5">
        <v>58</v>
      </c>
      <c r="G108" s="5">
        <v>0</v>
      </c>
    </row>
    <row r="109" ht="15" spans="3:7">
      <c r="C109" s="5">
        <v>66</v>
      </c>
      <c r="G109" s="5">
        <v>0</v>
      </c>
    </row>
    <row r="110" ht="15" spans="3:7">
      <c r="C110" s="5">
        <v>75</v>
      </c>
      <c r="G110" s="5">
        <v>1</v>
      </c>
    </row>
    <row r="111" ht="15" spans="3:7">
      <c r="C111" s="5">
        <v>86</v>
      </c>
      <c r="G111" s="5">
        <v>1</v>
      </c>
    </row>
    <row r="112" ht="15" spans="3:7">
      <c r="C112" s="5">
        <v>78</v>
      </c>
      <c r="G112" s="5">
        <v>0</v>
      </c>
    </row>
    <row r="113" ht="15" spans="3:7">
      <c r="C113" s="5">
        <v>75</v>
      </c>
      <c r="G113" s="5">
        <v>0</v>
      </c>
    </row>
    <row r="114" ht="15" spans="3:7">
      <c r="C114" s="5">
        <v>44</v>
      </c>
      <c r="G114" s="5">
        <v>0</v>
      </c>
    </row>
    <row r="115" ht="15" spans="3:7">
      <c r="C115" s="5">
        <v>86</v>
      </c>
      <c r="G115" s="5">
        <v>1</v>
      </c>
    </row>
    <row r="116" ht="15" spans="3:7">
      <c r="C116" s="5">
        <v>67</v>
      </c>
      <c r="G116" s="5">
        <v>1</v>
      </c>
    </row>
    <row r="117" ht="15" spans="3:7">
      <c r="C117" s="5">
        <v>67</v>
      </c>
      <c r="G117" s="5">
        <v>1</v>
      </c>
    </row>
    <row r="118" ht="15" spans="3:7">
      <c r="C118" s="5">
        <v>53</v>
      </c>
      <c r="G118" s="5">
        <v>0</v>
      </c>
    </row>
    <row r="119" ht="15" spans="3:7">
      <c r="C119" s="5">
        <v>73</v>
      </c>
      <c r="G119" s="5">
        <v>0</v>
      </c>
    </row>
    <row r="120" ht="15" spans="3:7">
      <c r="C120" s="5">
        <v>52</v>
      </c>
      <c r="G120" s="5">
        <v>1</v>
      </c>
    </row>
    <row r="121" ht="15" spans="3:7">
      <c r="C121" s="5">
        <v>47</v>
      </c>
      <c r="G121" s="5">
        <v>0</v>
      </c>
    </row>
    <row r="122" ht="15" spans="3:7">
      <c r="C122" s="5">
        <v>80</v>
      </c>
      <c r="G122" s="5">
        <v>0</v>
      </c>
    </row>
    <row r="123" ht="15" spans="3:7">
      <c r="C123" s="5">
        <v>73</v>
      </c>
      <c r="G123" s="5">
        <v>1</v>
      </c>
    </row>
    <row r="124" ht="15" spans="3:7">
      <c r="C124" s="5">
        <v>72</v>
      </c>
      <c r="G124" s="5">
        <v>0</v>
      </c>
    </row>
    <row r="125" ht="15" spans="3:7">
      <c r="C125" s="5">
        <v>65</v>
      </c>
      <c r="G125" s="5">
        <v>0</v>
      </c>
    </row>
    <row r="126" ht="15" spans="3:7">
      <c r="C126" s="5">
        <v>89</v>
      </c>
      <c r="G126" s="5">
        <v>1</v>
      </c>
    </row>
    <row r="127" ht="15" spans="3:7">
      <c r="C127" s="5">
        <v>57</v>
      </c>
      <c r="G127" s="5">
        <v>1</v>
      </c>
    </row>
    <row r="128" ht="15" spans="3:7">
      <c r="C128" s="5">
        <v>31</v>
      </c>
      <c r="G128" s="5">
        <v>0</v>
      </c>
    </row>
    <row r="129" ht="15" spans="3:7">
      <c r="C129" s="5">
        <v>59</v>
      </c>
      <c r="G129" s="5">
        <v>0</v>
      </c>
    </row>
    <row r="130" ht="15" spans="3:7">
      <c r="C130" s="5">
        <v>90</v>
      </c>
      <c r="G130" s="5">
        <v>1</v>
      </c>
    </row>
    <row r="131" ht="15" spans="3:7">
      <c r="C131" s="5">
        <v>49</v>
      </c>
      <c r="G131" s="5">
        <v>0</v>
      </c>
    </row>
    <row r="132" ht="15" spans="3:7">
      <c r="C132" s="5">
        <v>84</v>
      </c>
      <c r="G132" s="5">
        <v>0</v>
      </c>
    </row>
    <row r="133" ht="15" spans="3:7">
      <c r="C133" s="5">
        <v>61</v>
      </c>
      <c r="G133" s="5">
        <v>0</v>
      </c>
    </row>
    <row r="134" ht="15" spans="3:7">
      <c r="C134" s="5">
        <v>63</v>
      </c>
      <c r="G134" s="5">
        <v>1</v>
      </c>
    </row>
    <row r="135" ht="15" spans="3:7">
      <c r="C135" s="5">
        <v>60</v>
      </c>
      <c r="G135" s="5">
        <v>1</v>
      </c>
    </row>
    <row r="136" ht="15" spans="3:7">
      <c r="C136" s="5">
        <v>78</v>
      </c>
      <c r="G136" s="5">
        <v>1</v>
      </c>
    </row>
    <row r="137" ht="15" spans="3:7">
      <c r="C137" s="5">
        <v>49</v>
      </c>
      <c r="G137" s="5">
        <v>1</v>
      </c>
    </row>
    <row r="138" ht="15" spans="3:7">
      <c r="C138" s="5">
        <v>53</v>
      </c>
      <c r="G138" s="5">
        <v>0</v>
      </c>
    </row>
    <row r="139" ht="15" spans="3:7">
      <c r="C139" s="5">
        <v>66</v>
      </c>
      <c r="G139" s="5">
        <v>0</v>
      </c>
    </row>
    <row r="140" ht="15" spans="3:7">
      <c r="C140" s="5">
        <v>64</v>
      </c>
      <c r="G140" s="5">
        <v>0</v>
      </c>
    </row>
    <row r="141" ht="15" spans="3:7">
      <c r="C141" s="5">
        <v>69</v>
      </c>
      <c r="G141" s="5">
        <v>0</v>
      </c>
    </row>
    <row r="142" ht="15" spans="3:7">
      <c r="C142" s="5">
        <v>54</v>
      </c>
      <c r="G142" s="5">
        <v>0</v>
      </c>
    </row>
    <row r="143" ht="15" spans="3:7">
      <c r="C143" s="5">
        <v>42</v>
      </c>
      <c r="G143" s="5">
        <v>1</v>
      </c>
    </row>
    <row r="144" ht="15" spans="3:7">
      <c r="C144" s="5">
        <v>61</v>
      </c>
      <c r="G144" s="5">
        <v>1</v>
      </c>
    </row>
    <row r="145" ht="15" spans="3:7">
      <c r="C145" s="5">
        <v>54</v>
      </c>
      <c r="G145" s="5">
        <v>1</v>
      </c>
    </row>
    <row r="146" ht="15" spans="3:7">
      <c r="C146" s="5">
        <v>71</v>
      </c>
      <c r="G146" s="5">
        <v>1</v>
      </c>
    </row>
    <row r="147" ht="15" spans="3:7">
      <c r="C147" s="5">
        <v>62</v>
      </c>
      <c r="G147" s="5">
        <v>0</v>
      </c>
    </row>
    <row r="148" ht="15" spans="3:7">
      <c r="C148" s="5">
        <v>67</v>
      </c>
      <c r="G148" s="5">
        <v>0</v>
      </c>
    </row>
    <row r="149" ht="15" spans="3:7">
      <c r="C149" s="5">
        <v>34</v>
      </c>
      <c r="G149" s="5">
        <v>0</v>
      </c>
    </row>
    <row r="150" ht="15" spans="3:7">
      <c r="C150" s="5">
        <v>65</v>
      </c>
      <c r="G150" s="5">
        <v>1</v>
      </c>
    </row>
    <row r="151" ht="15" spans="3:7">
      <c r="C151" s="5">
        <v>34</v>
      </c>
      <c r="G151" s="5">
        <v>1</v>
      </c>
    </row>
    <row r="152" ht="15" spans="3:7">
      <c r="C152" s="5">
        <v>35</v>
      </c>
      <c r="G152" s="5">
        <v>0</v>
      </c>
    </row>
    <row r="153" ht="15" spans="3:7">
      <c r="C153" s="5">
        <v>60</v>
      </c>
      <c r="G153" s="5">
        <v>1</v>
      </c>
    </row>
    <row r="154" ht="15" spans="3:7">
      <c r="C154" s="5">
        <v>24</v>
      </c>
      <c r="G154" s="5">
        <v>0</v>
      </c>
    </row>
    <row r="155" ht="15" spans="3:7">
      <c r="C155" s="5">
        <v>52</v>
      </c>
      <c r="G155" s="5">
        <v>1</v>
      </c>
    </row>
    <row r="156" ht="15" spans="3:7">
      <c r="C156" s="5">
        <v>75</v>
      </c>
      <c r="G156" s="5">
        <v>1</v>
      </c>
    </row>
    <row r="157" ht="15" spans="3:7">
      <c r="C157" s="5">
        <v>83</v>
      </c>
      <c r="G157" s="5">
        <v>0</v>
      </c>
    </row>
    <row r="158" ht="15" spans="3:7">
      <c r="C158" s="5">
        <v>74</v>
      </c>
      <c r="G158" s="5">
        <v>1</v>
      </c>
    </row>
    <row r="159" ht="15" spans="3:7">
      <c r="C159" s="5">
        <v>37</v>
      </c>
      <c r="G159" s="5">
        <v>1</v>
      </c>
    </row>
    <row r="160" ht="15" spans="3:7">
      <c r="C160" s="5">
        <v>55</v>
      </c>
      <c r="G160" s="5">
        <v>0</v>
      </c>
    </row>
    <row r="161" ht="15" spans="3:7">
      <c r="C161" s="5">
        <v>63</v>
      </c>
      <c r="G161" s="5">
        <v>0</v>
      </c>
    </row>
    <row r="162" ht="15" spans="3:7">
      <c r="C162" s="5">
        <v>44</v>
      </c>
      <c r="G162" s="5">
        <v>0</v>
      </c>
    </row>
    <row r="163" ht="15" spans="3:7">
      <c r="C163" s="5">
        <v>50</v>
      </c>
      <c r="G163" s="5">
        <v>1</v>
      </c>
    </row>
    <row r="164" ht="15" spans="3:7">
      <c r="C164" s="5">
        <v>66</v>
      </c>
      <c r="G164" s="5">
        <v>1</v>
      </c>
    </row>
    <row r="165" ht="15" spans="3:7">
      <c r="C165" s="5">
        <v>54</v>
      </c>
      <c r="G165" s="5">
        <v>1</v>
      </c>
    </row>
    <row r="166" ht="15" spans="3:7">
      <c r="C166" s="5">
        <v>65</v>
      </c>
      <c r="G166" s="5">
        <v>1</v>
      </c>
    </row>
    <row r="167" ht="15" spans="3:7">
      <c r="C167" s="5">
        <v>50</v>
      </c>
      <c r="G167" s="5">
        <v>0</v>
      </c>
    </row>
    <row r="168" ht="15" spans="3:7">
      <c r="C168" s="5">
        <v>68</v>
      </c>
      <c r="G168" s="5">
        <v>0</v>
      </c>
    </row>
    <row r="169" ht="15" spans="3:7">
      <c r="C169" s="5">
        <v>49</v>
      </c>
      <c r="G169" s="5">
        <v>1</v>
      </c>
    </row>
    <row r="170" ht="15" spans="3:7">
      <c r="C170" s="5">
        <v>87</v>
      </c>
      <c r="G170" s="5">
        <v>0</v>
      </c>
    </row>
    <row r="171" ht="15" spans="3:7">
      <c r="C171" s="5">
        <v>48</v>
      </c>
      <c r="G171" s="5">
        <v>0</v>
      </c>
    </row>
    <row r="172" ht="15" spans="3:7">
      <c r="C172" s="5">
        <v>57</v>
      </c>
      <c r="G172" s="5">
        <v>1</v>
      </c>
    </row>
    <row r="173" ht="15" spans="3:7">
      <c r="C173" s="5">
        <v>63</v>
      </c>
      <c r="G173" s="5">
        <v>0</v>
      </c>
    </row>
    <row r="174" ht="15" spans="3:7">
      <c r="C174" s="5">
        <v>62</v>
      </c>
      <c r="G174" s="5">
        <v>1</v>
      </c>
    </row>
    <row r="175" ht="15" spans="3:7">
      <c r="C175" s="5">
        <v>78</v>
      </c>
      <c r="G175" s="5">
        <v>0</v>
      </c>
    </row>
    <row r="176" ht="15" spans="3:7">
      <c r="C176" s="5">
        <v>78</v>
      </c>
      <c r="G176" s="5">
        <v>1</v>
      </c>
    </row>
    <row r="177" ht="15" spans="3:7">
      <c r="C177" s="5">
        <v>60</v>
      </c>
      <c r="G177" s="5">
        <v>0</v>
      </c>
    </row>
    <row r="178" ht="15" spans="3:7">
      <c r="C178" s="5">
        <v>59</v>
      </c>
      <c r="G178" s="5">
        <v>1</v>
      </c>
    </row>
    <row r="179" ht="15" spans="3:7">
      <c r="C179" s="5">
        <v>20</v>
      </c>
      <c r="G179" s="5">
        <v>0</v>
      </c>
    </row>
    <row r="180" ht="15" spans="3:7">
      <c r="C180" s="5">
        <v>55</v>
      </c>
      <c r="G180" s="5">
        <v>0</v>
      </c>
    </row>
    <row r="181" ht="15" spans="3:7">
      <c r="C181" s="5">
        <v>53</v>
      </c>
      <c r="G181" s="5">
        <v>1</v>
      </c>
    </row>
    <row r="182" ht="15" spans="3:7">
      <c r="C182" s="5">
        <v>62</v>
      </c>
      <c r="G182" s="5">
        <v>1</v>
      </c>
    </row>
    <row r="183" ht="15" spans="3:7">
      <c r="C183" s="5">
        <v>71</v>
      </c>
      <c r="G183" s="5">
        <v>0</v>
      </c>
    </row>
    <row r="184" ht="15" spans="3:7">
      <c r="C184" s="5">
        <v>78</v>
      </c>
      <c r="G184" s="5">
        <v>0</v>
      </c>
    </row>
    <row r="185" ht="15" spans="3:7">
      <c r="C185" s="5">
        <v>71</v>
      </c>
      <c r="G185" s="5">
        <v>1</v>
      </c>
    </row>
    <row r="186" ht="15" spans="3:7">
      <c r="C186" s="5">
        <v>65</v>
      </c>
      <c r="G186" s="5">
        <v>0</v>
      </c>
    </row>
    <row r="187" ht="15" spans="3:7">
      <c r="C187" s="5">
        <v>43</v>
      </c>
      <c r="G187" s="5">
        <v>1</v>
      </c>
    </row>
    <row r="188" ht="15" spans="3:7">
      <c r="C188" s="5">
        <v>60</v>
      </c>
      <c r="G188" s="5">
        <v>1</v>
      </c>
    </row>
    <row r="189" ht="15" spans="3:7">
      <c r="C189" s="5">
        <v>33</v>
      </c>
      <c r="G189" s="5">
        <v>1</v>
      </c>
    </row>
    <row r="190" ht="15" spans="3:7">
      <c r="C190" s="5">
        <v>53</v>
      </c>
      <c r="G190" s="5">
        <v>0</v>
      </c>
    </row>
    <row r="191" ht="15" spans="3:7">
      <c r="C191" s="5">
        <v>75</v>
      </c>
      <c r="G191" s="5">
        <v>1</v>
      </c>
    </row>
    <row r="192" ht="15" spans="3:7">
      <c r="C192" s="5">
        <v>55</v>
      </c>
      <c r="G192" s="5">
        <v>1</v>
      </c>
    </row>
    <row r="193" ht="15" spans="3:7">
      <c r="C193" s="5">
        <v>65</v>
      </c>
      <c r="G193" s="5">
        <v>0</v>
      </c>
    </row>
    <row r="194" ht="15" spans="3:7">
      <c r="C194" s="5">
        <v>61</v>
      </c>
      <c r="G194" s="5">
        <v>1</v>
      </c>
    </row>
    <row r="195" ht="15" spans="3:7">
      <c r="C195" s="5">
        <v>67</v>
      </c>
      <c r="G195" s="5">
        <v>0</v>
      </c>
    </row>
  </sheetData>
  <autoFilter ref="G1:H195">
    <extLst/>
  </autoFilter>
  <mergeCells count="2">
    <mergeCell ref="B1:C1"/>
    <mergeCell ref="G1:H1"/>
  </mergeCells>
  <pageMargins left="0.75" right="0.75" top="1" bottom="1" header="0.5" footer="0.5"/>
  <headerFooter/>
  <drawing r:id="rId1"/>
  <legacyDrawing r:id="rId2"/>
  <oleObjects>
    <mc:AlternateContent xmlns:mc="http://schemas.openxmlformats.org/markup-compatibility/2006">
      <mc:Choice Requires="x14">
        <oleObject shapeId="1025" progId="Prism6.Document" r:id="rId3">
          <objectPr defaultSize="0" r:id="rId4">
            <anchor moveWithCells="1" sizeWithCells="1">
              <from>
                <xdr:col>9</xdr:col>
                <xdr:colOff>276225</xdr:colOff>
                <xdr:row>4</xdr:row>
                <xdr:rowOff>57150</xdr:rowOff>
              </from>
              <to>
                <xdr:col>14</xdr:col>
                <xdr:colOff>251460</xdr:colOff>
                <xdr:row>16</xdr:row>
                <xdr:rowOff>15875</xdr:rowOff>
              </to>
            </anchor>
          </objectPr>
        </oleObject>
      </mc:Choice>
      <mc:Fallback>
        <oleObject shapeId="1025" progId="Prism6.Document" r:id="rId3"/>
      </mc:Fallback>
    </mc:AlternateContent>
    <mc:AlternateContent xmlns:mc="http://schemas.openxmlformats.org/markup-compatibility/2006">
      <mc:Choice Requires="x14">
        <oleObject shapeId="1026" progId="Prism6.Document" r:id="rId5">
          <objectPr defaultSize="0" r:id="rId6">
            <anchor moveWithCells="1" sizeWithCells="1">
              <from>
                <xdr:col>14</xdr:col>
                <xdr:colOff>266700</xdr:colOff>
                <xdr:row>4</xdr:row>
                <xdr:rowOff>76200</xdr:rowOff>
              </from>
              <to>
                <xdr:col>20</xdr:col>
                <xdr:colOff>269875</xdr:colOff>
                <xdr:row>16</xdr:row>
                <xdr:rowOff>34925</xdr:rowOff>
              </to>
            </anchor>
          </objectPr>
        </oleObject>
      </mc:Choice>
      <mc:Fallback>
        <oleObject shapeId="1026" progId="Prism6.Document" r:id="rId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25"/>
  <sheetViews>
    <sheetView workbookViewId="0">
      <selection activeCell="E21" sqref="E21"/>
    </sheetView>
  </sheetViews>
  <sheetFormatPr defaultColWidth="9" defaultRowHeight="13.5" outlineLevelCol="5"/>
  <cols>
    <col min="1" max="1" width="26.5" customWidth="1"/>
    <col min="2" max="2" width="17.25" customWidth="1"/>
    <col min="5" max="5" width="30" customWidth="1"/>
    <col min="6" max="6" width="8.625" customWidth="1"/>
  </cols>
  <sheetData>
    <row r="1" spans="1:6">
      <c r="A1" s="1" t="s">
        <v>383</v>
      </c>
      <c r="B1" s="1" t="s">
        <v>384</v>
      </c>
      <c r="E1" s="2" t="s">
        <v>385</v>
      </c>
      <c r="F1" s="2"/>
    </row>
    <row r="2" spans="1:6">
      <c r="A2" s="1"/>
      <c r="B2" s="1"/>
      <c r="E2" s="1" t="s">
        <v>386</v>
      </c>
      <c r="F2" s="1" t="s">
        <v>387</v>
      </c>
    </row>
    <row r="3" spans="1:6">
      <c r="A3" s="1" t="s">
        <v>388</v>
      </c>
      <c r="B3" s="1" t="s">
        <v>389</v>
      </c>
      <c r="E3" s="1" t="s">
        <v>390</v>
      </c>
      <c r="F3" s="1">
        <v>1.417</v>
      </c>
    </row>
    <row r="4" spans="1:6">
      <c r="A4" s="1" t="s">
        <v>391</v>
      </c>
      <c r="B4" s="1" t="s">
        <v>391</v>
      </c>
      <c r="E4" s="1" t="s">
        <v>392</v>
      </c>
      <c r="F4" s="1">
        <v>0.1565</v>
      </c>
    </row>
    <row r="5" spans="1:6">
      <c r="A5" s="1" t="s">
        <v>393</v>
      </c>
      <c r="B5" s="1" t="s">
        <v>394</v>
      </c>
      <c r="E5" s="1" t="s">
        <v>395</v>
      </c>
      <c r="F5" s="1" t="s">
        <v>396</v>
      </c>
    </row>
    <row r="6" spans="1:6">
      <c r="A6" s="1"/>
      <c r="B6" s="1"/>
      <c r="E6" s="1" t="s">
        <v>397</v>
      </c>
      <c r="F6" s="1" t="s">
        <v>398</v>
      </c>
    </row>
    <row r="7" spans="1:6">
      <c r="A7" s="2" t="s">
        <v>399</v>
      </c>
      <c r="B7" s="2"/>
      <c r="E7" s="3" t="s">
        <v>400</v>
      </c>
      <c r="F7" s="3" t="s">
        <v>341</v>
      </c>
    </row>
    <row r="8" spans="1:2">
      <c r="A8" s="1" t="s">
        <v>392</v>
      </c>
      <c r="B8" s="1">
        <v>0.3842</v>
      </c>
    </row>
    <row r="9" spans="1:2">
      <c r="A9" s="1" t="s">
        <v>395</v>
      </c>
      <c r="B9" s="1" t="s">
        <v>396</v>
      </c>
    </row>
    <row r="10" spans="1:2">
      <c r="A10" s="1" t="s">
        <v>401</v>
      </c>
      <c r="B10" s="1" t="s">
        <v>341</v>
      </c>
    </row>
    <row r="11" spans="1:2">
      <c r="A11" s="1" t="s">
        <v>402</v>
      </c>
      <c r="B11" s="1" t="s">
        <v>403</v>
      </c>
    </row>
    <row r="12" spans="1:2">
      <c r="A12" s="3" t="s">
        <v>404</v>
      </c>
      <c r="B12" s="3" t="s">
        <v>405</v>
      </c>
    </row>
    <row r="13" spans="1:2">
      <c r="A13" s="1"/>
      <c r="B13" s="1"/>
    </row>
    <row r="14" spans="1:2">
      <c r="A14" s="1" t="s">
        <v>406</v>
      </c>
      <c r="B14" s="1"/>
    </row>
    <row r="15" spans="1:2">
      <c r="A15" s="1" t="s">
        <v>407</v>
      </c>
      <c r="B15" s="1" t="s">
        <v>408</v>
      </c>
    </row>
    <row r="16" spans="1:2">
      <c r="A16" s="1" t="s">
        <v>409</v>
      </c>
      <c r="B16" s="1" t="s">
        <v>410</v>
      </c>
    </row>
    <row r="17" spans="1:2">
      <c r="A17" s="1" t="s">
        <v>411</v>
      </c>
      <c r="B17" s="1" t="s">
        <v>412</v>
      </c>
    </row>
    <row r="18" spans="1:2">
      <c r="A18" s="1" t="s">
        <v>413</v>
      </c>
      <c r="B18" s="1" t="s">
        <v>414</v>
      </c>
    </row>
    <row r="19" spans="1:2">
      <c r="A19" s="1" t="s">
        <v>415</v>
      </c>
      <c r="B19" s="1">
        <v>0.002995</v>
      </c>
    </row>
    <row r="20" spans="1:2">
      <c r="A20" s="1"/>
      <c r="B20" s="1"/>
    </row>
    <row r="21" spans="1:2">
      <c r="A21" s="1" t="s">
        <v>416</v>
      </c>
      <c r="B21" s="1"/>
    </row>
    <row r="22" spans="1:2">
      <c r="A22" s="1" t="s">
        <v>417</v>
      </c>
      <c r="B22" s="1" t="s">
        <v>418</v>
      </c>
    </row>
    <row r="23" spans="1:2">
      <c r="A23" s="1" t="s">
        <v>392</v>
      </c>
      <c r="B23" s="1">
        <v>0.766</v>
      </c>
    </row>
    <row r="24" spans="1:2">
      <c r="A24" s="1" t="s">
        <v>395</v>
      </c>
      <c r="B24" s="1" t="s">
        <v>396</v>
      </c>
    </row>
    <row r="25" spans="1:2">
      <c r="A25" s="1" t="s">
        <v>401</v>
      </c>
      <c r="B25" s="1" t="s">
        <v>341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Sheet2</vt:lpstr>
      <vt:lpstr>热图输入</vt:lpstr>
      <vt:lpstr>生存曲线输入</vt:lpstr>
      <vt:lpstr>Sheet5</vt:lpstr>
      <vt:lpstr>差异分析画图输入</vt:lpstr>
      <vt:lpstr>差异分析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deng</dc:creator>
  <cp:lastModifiedBy>Jind</cp:lastModifiedBy>
  <dcterms:created xsi:type="dcterms:W3CDTF">2019-08-22T06:30:00Z</dcterms:created>
  <dcterms:modified xsi:type="dcterms:W3CDTF">2022-04-10T02:28:21Z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2052-11.1.0.11365</vt:lpwstr>
  </property>
  <property fmtid="{D5CDD505-2E9C-101B-9397-08002B2CF9AE}" pid="3" name="ICV">
    <vt:lpwstr>7170336DEC9E4574808776B24767E68D</vt:lpwstr>
  </property>
</Properties>
</file>